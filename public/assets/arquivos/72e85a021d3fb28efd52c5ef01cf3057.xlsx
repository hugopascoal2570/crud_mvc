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0730" windowHeight="11160" activeTab="2"/>
  </bookViews>
  <sheets>
    <sheet name="Início" sheetId="4" r:id="rId1"/>
    <sheet name="Planilha para Comércio" sheetId="2" r:id="rId2"/>
    <sheet name="Planilha para Indústria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41" i="1" l="1"/>
  <c r="E58" i="2" l="1"/>
  <c r="E57" i="2"/>
  <c r="E56" i="2"/>
  <c r="P58" i="2"/>
  <c r="P57" i="2"/>
  <c r="P59" i="2" s="1"/>
  <c r="P56" i="2"/>
  <c r="P34" i="2"/>
  <c r="P33" i="2"/>
  <c r="P35" i="2" s="1"/>
  <c r="P32" i="2"/>
  <c r="E34" i="2"/>
  <c r="E33" i="2"/>
  <c r="E35" i="2" s="1"/>
  <c r="E32" i="2"/>
  <c r="O65" i="1"/>
  <c r="O64" i="1"/>
  <c r="O63" i="1"/>
  <c r="O62" i="1"/>
  <c r="O66" i="1" s="1"/>
  <c r="O61" i="1"/>
  <c r="E65" i="1"/>
  <c r="E64" i="1"/>
  <c r="E63" i="1"/>
  <c r="E62" i="1"/>
  <c r="E66" i="1" s="1"/>
  <c r="E61" i="1"/>
  <c r="O38" i="1"/>
  <c r="O37" i="1"/>
  <c r="O36" i="1"/>
  <c r="O35" i="1"/>
  <c r="O39" i="1" s="1"/>
  <c r="O34" i="1"/>
  <c r="E37" i="1"/>
  <c r="E36" i="1"/>
  <c r="E35" i="1"/>
  <c r="E34" i="1"/>
  <c r="E39" i="1" l="1"/>
  <c r="E59" i="2"/>
  <c r="E61" i="2"/>
  <c r="P61" i="2"/>
  <c r="P37" i="2"/>
  <c r="E37" i="2"/>
  <c r="O68" i="1"/>
  <c r="E68" i="1"/>
  <c r="E41" i="1"/>
  <c r="E65" i="2" l="1"/>
  <c r="E63" i="2"/>
  <c r="E66" i="2"/>
  <c r="E64" i="2"/>
  <c r="E62" i="2"/>
  <c r="P65" i="2"/>
  <c r="P63" i="2"/>
  <c r="P66" i="2"/>
  <c r="P64" i="2"/>
  <c r="P62" i="2"/>
  <c r="P41" i="2"/>
  <c r="P39" i="2"/>
  <c r="P42" i="2"/>
  <c r="P40" i="2"/>
  <c r="P38" i="2"/>
  <c r="E41" i="2"/>
  <c r="E39" i="2"/>
  <c r="E42" i="2"/>
  <c r="E40" i="2"/>
  <c r="E38" i="2"/>
  <c r="O72" i="1"/>
  <c r="O70" i="1"/>
  <c r="O73" i="1"/>
  <c r="O71" i="1"/>
  <c r="O69" i="1"/>
  <c r="E72" i="1"/>
  <c r="E70" i="1"/>
  <c r="E73" i="1"/>
  <c r="E71" i="1"/>
  <c r="E69" i="1"/>
  <c r="O45" i="1"/>
  <c r="O43" i="1"/>
  <c r="O46" i="1"/>
  <c r="O44" i="1"/>
  <c r="O42" i="1"/>
  <c r="E45" i="1"/>
  <c r="E43" i="1"/>
  <c r="E46" i="1"/>
  <c r="E44" i="1"/>
  <c r="E42" i="1"/>
  <c r="P9" i="2"/>
  <c r="P8" i="2"/>
  <c r="P7" i="2"/>
  <c r="E9" i="2"/>
  <c r="E8" i="2"/>
  <c r="E7" i="2"/>
  <c r="O11" i="1"/>
  <c r="O10" i="1"/>
  <c r="O9" i="1"/>
  <c r="O8" i="1"/>
  <c r="O7" i="1"/>
  <c r="E8" i="1"/>
  <c r="E9" i="1"/>
  <c r="E10" i="1"/>
  <c r="E11" i="1"/>
  <c r="E7" i="1"/>
  <c r="E74" i="1" l="1"/>
  <c r="E75" i="1" s="1"/>
  <c r="E76" i="1" s="1"/>
  <c r="O74" i="1"/>
  <c r="O75" i="1" s="1"/>
  <c r="O76" i="1" s="1"/>
  <c r="E47" i="1"/>
  <c r="E48" i="1" s="1"/>
  <c r="E49" i="1" s="1"/>
  <c r="O47" i="1"/>
  <c r="O48" i="1" s="1"/>
  <c r="O49" i="1" s="1"/>
  <c r="E67" i="2"/>
  <c r="E68" i="2" s="1"/>
  <c r="E69" i="2" s="1"/>
  <c r="P43" i="2"/>
  <c r="P44" i="2" s="1"/>
  <c r="P45" i="2" s="1"/>
  <c r="P67" i="2"/>
  <c r="P68" i="2" s="1"/>
  <c r="P69" i="2" s="1"/>
  <c r="E43" i="2"/>
  <c r="E44" i="2" s="1"/>
  <c r="E45" i="2" s="1"/>
  <c r="P10" i="2"/>
  <c r="E10" i="2"/>
  <c r="O12" i="1"/>
  <c r="E12" i="1"/>
  <c r="E14" i="1" l="1"/>
  <c r="E19" i="1" s="1"/>
  <c r="E12" i="2"/>
  <c r="O14" i="1"/>
  <c r="O15" i="1" s="1"/>
  <c r="P12" i="2"/>
  <c r="P15" i="2" s="1"/>
  <c r="E17" i="1"/>
  <c r="E17" i="2"/>
  <c r="E13" i="2"/>
  <c r="E18" i="2" s="1"/>
  <c r="E14" i="2"/>
  <c r="E15" i="2"/>
  <c r="E16" i="2"/>
  <c r="E15" i="1"/>
  <c r="E18" i="1" l="1"/>
  <c r="E19" i="2"/>
  <c r="E20" i="2" s="1"/>
  <c r="E16" i="1"/>
  <c r="E20" i="1" s="1"/>
  <c r="E21" i="1" s="1"/>
  <c r="E22" i="1" s="1"/>
  <c r="O18" i="1"/>
  <c r="O19" i="1"/>
  <c r="O16" i="1"/>
  <c r="O17" i="1"/>
  <c r="P14" i="2"/>
  <c r="P13" i="2"/>
  <c r="P16" i="2"/>
  <c r="P17" i="2"/>
  <c r="P18" i="2" l="1"/>
  <c r="P19" i="2" s="1"/>
  <c r="P20" i="2" s="1"/>
  <c r="O20" i="1"/>
  <c r="O21" i="1" s="1"/>
  <c r="O22" i="1" s="1"/>
</calcChain>
</file>

<file path=xl/sharedStrings.xml><?xml version="1.0" encoding="utf-8"?>
<sst xmlns="http://schemas.openxmlformats.org/spreadsheetml/2006/main" count="280" uniqueCount="51">
  <si>
    <t>Qntd.</t>
  </si>
  <si>
    <t>Custo</t>
  </si>
  <si>
    <t>Sub-total</t>
  </si>
  <si>
    <t>Pá de Corte</t>
  </si>
  <si>
    <t xml:space="preserve">Chapa 1045 </t>
  </si>
  <si>
    <t xml:space="preserve">Cabo de Madeira </t>
  </si>
  <si>
    <t>Unidade</t>
  </si>
  <si>
    <t>kg</t>
  </si>
  <si>
    <t>un</t>
  </si>
  <si>
    <t>Parafuso</t>
  </si>
  <si>
    <t>Plástico strech</t>
  </si>
  <si>
    <t>Adesivo identificação</t>
  </si>
  <si>
    <t>CUSTO</t>
  </si>
  <si>
    <t>Matérias primas</t>
  </si>
  <si>
    <t>Margem</t>
  </si>
  <si>
    <t>Preço</t>
  </si>
  <si>
    <t>Custos variáveis</t>
  </si>
  <si>
    <t xml:space="preserve">Imposto </t>
  </si>
  <si>
    <t xml:space="preserve">Comissão </t>
  </si>
  <si>
    <t xml:space="preserve">Frete </t>
  </si>
  <si>
    <t>Exemplo Indústria</t>
  </si>
  <si>
    <t>Custos Fixos</t>
  </si>
  <si>
    <t>Mão de obra</t>
  </si>
  <si>
    <t>Desp. Adm.</t>
  </si>
  <si>
    <t>% Lucro</t>
  </si>
  <si>
    <t>Lucro/unid.</t>
  </si>
  <si>
    <t>Exemplo Comércio</t>
  </si>
  <si>
    <t>Colar  Prateado</t>
  </si>
  <si>
    <t>Produto</t>
  </si>
  <si>
    <t>unid.</t>
  </si>
  <si>
    <t>Etiqueta da marca</t>
  </si>
  <si>
    <t>Unid.</t>
  </si>
  <si>
    <t>Embalagem de venda</t>
  </si>
  <si>
    <t>Taxa cartão</t>
  </si>
  <si>
    <t>Produto 1</t>
  </si>
  <si>
    <t>Item</t>
  </si>
  <si>
    <t>Embalagem</t>
  </si>
  <si>
    <t>Etiqueta</t>
  </si>
  <si>
    <t>Produto 2</t>
  </si>
  <si>
    <t>Produto 3</t>
  </si>
  <si>
    <t>Produto 4</t>
  </si>
  <si>
    <t>Produto 5</t>
  </si>
  <si>
    <t>Custo Final do Produto</t>
  </si>
  <si>
    <t>Edite apenas os campos em amarelo</t>
  </si>
  <si>
    <t>* se quiser reproduzir vários produtos basta copiar e colar todo bloco acima</t>
  </si>
  <si>
    <t>Planilha grátis oferecida para você pelo                                Software de Gestão (ERP) para PME.</t>
  </si>
  <si>
    <t>Como Utilizar esta Planilha?</t>
  </si>
  <si>
    <t>Clique aqui</t>
  </si>
  <si>
    <t>Siga-nos no Youtube</t>
  </si>
  <si>
    <t>Confira nosso Blog com muitos artigos grátis para você crescer sua empresa!</t>
  </si>
  <si>
    <t>Planilha de Cálculo de Preço de 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</si>
</sst>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&quot;R$&quot;\ * #,##0.00_-;\-&quot;R$&quot;\ * #,##0.00_-;_-&quot;R$&quot;\ * &quot;-&quot;??_-;_-@_-"/>
    <numFmt numFmtId="165" formatCode="&quot;R$&quot;\ #,##0.00"/>
  </numFmts>
  <fonts count="1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u/>
      <sz val="20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5BD54B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0" fontId="10" fillId="0" borderId="0"/>
    <xf numFmtId="0" fontId="12" fillId="0" borderId="0" applyNumberFormat="0" applyFill="0" applyBorder="0" applyAlignment="0" applyProtection="0"/>
    <xf numFmtId="164" fontId="17" fillId="0" borderId="0" applyFont="0" applyFill="0" applyBorder="0" applyAlignment="0" applyProtection="0"/>
  </cellStyleXfs>
  <cellXfs count="101">
    <xf numFmtId="0" fontId="0" fillId="0" borderId="0" xfId="0"/>
    <xf numFmtId="0" fontId="0" fillId="2" borderId="0" xfId="0" applyFill="1" applyBorder="1"/>
    <xf numFmtId="0" fontId="0" fillId="3" borderId="0" xfId="0" applyFill="1"/>
    <xf numFmtId="0" fontId="4" fillId="3" borderId="0" xfId="0" applyFont="1" applyFill="1"/>
    <xf numFmtId="0" fontId="0" fillId="3" borderId="15" xfId="0" applyFill="1" applyBorder="1"/>
    <xf numFmtId="0" fontId="0" fillId="0" borderId="15" xfId="0" applyBorder="1"/>
    <xf numFmtId="0" fontId="0" fillId="3" borderId="0" xfId="0" applyFill="1" applyAlignment="1"/>
    <xf numFmtId="0" fontId="0" fillId="3" borderId="15" xfId="0" applyFill="1" applyBorder="1" applyAlignment="1"/>
    <xf numFmtId="0" fontId="0" fillId="4" borderId="11" xfId="0" applyFill="1" applyBorder="1"/>
    <xf numFmtId="0" fontId="2" fillId="4" borderId="10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11" xfId="0" applyFont="1" applyFill="1" applyBorder="1"/>
    <xf numFmtId="0" fontId="0" fillId="4" borderId="0" xfId="0" applyFill="1" applyBorder="1"/>
    <xf numFmtId="165" fontId="0" fillId="4" borderId="7" xfId="0" applyNumberFormat="1" applyFill="1" applyBorder="1"/>
    <xf numFmtId="165" fontId="0" fillId="2" borderId="7" xfId="0" applyNumberFormat="1" applyFill="1" applyBorder="1"/>
    <xf numFmtId="0" fontId="0" fillId="3" borderId="6" xfId="0" applyFill="1" applyBorder="1"/>
    <xf numFmtId="0" fontId="0" fillId="3" borderId="0" xfId="0" applyFill="1" applyBorder="1"/>
    <xf numFmtId="0" fontId="0" fillId="3" borderId="12" xfId="0" applyFill="1" applyBorder="1"/>
    <xf numFmtId="0" fontId="0" fillId="3" borderId="13" xfId="0" applyFill="1" applyBorder="1"/>
    <xf numFmtId="0" fontId="9" fillId="4" borderId="0" xfId="0" applyFont="1" applyFill="1" applyBorder="1"/>
    <xf numFmtId="0" fontId="5" fillId="5" borderId="0" xfId="0" applyFont="1" applyFill="1" applyBorder="1"/>
    <xf numFmtId="165" fontId="5" fillId="5" borderId="7" xfId="0" applyNumberFormat="1" applyFont="1" applyFill="1" applyBorder="1"/>
    <xf numFmtId="0" fontId="5" fillId="5" borderId="13" xfId="0" applyFont="1" applyFill="1" applyBorder="1"/>
    <xf numFmtId="10" fontId="5" fillId="5" borderId="14" xfId="0" applyNumberFormat="1" applyFont="1" applyFill="1" applyBorder="1"/>
    <xf numFmtId="0" fontId="10" fillId="0" borderId="0" xfId="2"/>
    <xf numFmtId="0" fontId="11" fillId="0" borderId="0" xfId="2" applyFont="1"/>
    <xf numFmtId="0" fontId="1" fillId="0" borderId="0" xfId="2" applyFont="1"/>
    <xf numFmtId="0" fontId="10" fillId="0" borderId="16" xfId="2" applyBorder="1"/>
    <xf numFmtId="0" fontId="11" fillId="0" borderId="16" xfId="2" applyFont="1" applyBorder="1"/>
    <xf numFmtId="0" fontId="7" fillId="0" borderId="0" xfId="2" applyFont="1"/>
    <xf numFmtId="0" fontId="6" fillId="0" borderId="0" xfId="1"/>
    <xf numFmtId="0" fontId="0" fillId="6" borderId="0" xfId="0" applyFill="1"/>
    <xf numFmtId="0" fontId="1" fillId="6" borderId="0" xfId="0" applyFont="1" applyFill="1"/>
    <xf numFmtId="0" fontId="15" fillId="6" borderId="0" xfId="0" applyFont="1" applyFill="1"/>
    <xf numFmtId="0" fontId="14" fillId="6" borderId="0" xfId="0" applyFont="1" applyFill="1"/>
    <xf numFmtId="0" fontId="13" fillId="6" borderId="0" xfId="0" applyFont="1" applyFill="1"/>
    <xf numFmtId="0" fontId="2" fillId="2" borderId="17" xfId="0" applyFont="1" applyFill="1" applyBorder="1"/>
    <xf numFmtId="0" fontId="2" fillId="2" borderId="17" xfId="0" applyFont="1" applyFill="1" applyBorder="1" applyAlignment="1">
      <alignment horizontal="center"/>
    </xf>
    <xf numFmtId="0" fontId="8" fillId="6" borderId="0" xfId="0" applyFont="1" applyFill="1"/>
    <xf numFmtId="0" fontId="16" fillId="4" borderId="0" xfId="0" applyFont="1" applyFill="1"/>
    <xf numFmtId="10" fontId="16" fillId="4" borderId="0" xfId="0" applyNumberFormat="1" applyFont="1" applyFill="1"/>
    <xf numFmtId="165" fontId="16" fillId="4" borderId="0" xfId="0" applyNumberFormat="1" applyFont="1" applyFill="1"/>
    <xf numFmtId="0" fontId="16" fillId="6" borderId="0" xfId="0" applyFont="1" applyFill="1"/>
    <xf numFmtId="0" fontId="16" fillId="4" borderId="1" xfId="0" applyFont="1" applyFill="1" applyBorder="1"/>
    <xf numFmtId="0" fontId="7" fillId="2" borderId="17" xfId="0" applyFont="1" applyFill="1" applyBorder="1"/>
    <xf numFmtId="0" fontId="7" fillId="2" borderId="17" xfId="0" applyFont="1" applyFill="1" applyBorder="1" applyAlignment="1">
      <alignment horizontal="center"/>
    </xf>
    <xf numFmtId="0" fontId="16" fillId="0" borderId="1" xfId="0" applyFont="1" applyBorder="1"/>
    <xf numFmtId="0" fontId="6" fillId="0" borderId="0" xfId="1" applyFill="1"/>
    <xf numFmtId="0" fontId="0" fillId="8" borderId="10" xfId="0" applyFill="1" applyBorder="1"/>
    <xf numFmtId="0" fontId="0" fillId="8" borderId="1" xfId="0" applyFill="1" applyBorder="1"/>
    <xf numFmtId="10" fontId="0" fillId="8" borderId="0" xfId="0" applyNumberFormat="1" applyFill="1" applyBorder="1"/>
    <xf numFmtId="10" fontId="0" fillId="8" borderId="7" xfId="0" applyNumberFormat="1" applyFill="1" applyBorder="1"/>
    <xf numFmtId="0" fontId="9" fillId="10" borderId="0" xfId="0" applyFont="1" applyFill="1" applyBorder="1"/>
    <xf numFmtId="165" fontId="0" fillId="6" borderId="7" xfId="0" applyNumberFormat="1" applyFill="1" applyBorder="1"/>
    <xf numFmtId="10" fontId="16" fillId="11" borderId="0" xfId="0" applyNumberFormat="1" applyFont="1" applyFill="1"/>
    <xf numFmtId="165" fontId="16" fillId="9" borderId="0" xfId="0" applyNumberFormat="1" applyFont="1" applyFill="1"/>
    <xf numFmtId="0" fontId="9" fillId="2" borderId="0" xfId="0" applyFont="1" applyFill="1"/>
    <xf numFmtId="165" fontId="9" fillId="2" borderId="0" xfId="0" applyNumberFormat="1" applyFont="1" applyFill="1"/>
    <xf numFmtId="10" fontId="9" fillId="2" borderId="0" xfId="0" applyNumberFormat="1" applyFont="1" applyFill="1"/>
    <xf numFmtId="0" fontId="9" fillId="7" borderId="0" xfId="0" applyFont="1" applyFill="1" applyBorder="1"/>
    <xf numFmtId="0" fontId="16" fillId="7" borderId="0" xfId="0" applyFont="1" applyFill="1"/>
    <xf numFmtId="10" fontId="16" fillId="7" borderId="0" xfId="0" applyNumberFormat="1" applyFont="1" applyFill="1"/>
    <xf numFmtId="165" fontId="16" fillId="7" borderId="0" xfId="0" applyNumberFormat="1" applyFont="1" applyFill="1"/>
    <xf numFmtId="165" fontId="0" fillId="7" borderId="7" xfId="0" applyNumberFormat="1" applyFill="1" applyBorder="1"/>
    <xf numFmtId="0" fontId="15" fillId="6" borderId="0" xfId="0" applyFont="1" applyFill="1" applyAlignment="1">
      <alignment horizontal="center"/>
    </xf>
    <xf numFmtId="0" fontId="5" fillId="4" borderId="6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9" fillId="11" borderId="0" xfId="0" applyFont="1" applyFill="1" applyBorder="1" applyAlignment="1">
      <alignment horizontal="center"/>
    </xf>
    <xf numFmtId="164" fontId="9" fillId="6" borderId="0" xfId="4" applyFont="1" applyFill="1" applyBorder="1" applyAlignment="1">
      <alignment horizontal="center"/>
    </xf>
    <xf numFmtId="0" fontId="5" fillId="10" borderId="6" xfId="0" applyFont="1" applyFill="1" applyBorder="1" applyAlignment="1">
      <alignment horizontal="center" vertical="center"/>
    </xf>
    <xf numFmtId="0" fontId="5" fillId="10" borderId="0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left"/>
    </xf>
    <xf numFmtId="0" fontId="1" fillId="2" borderId="19" xfId="0" applyFont="1" applyFill="1" applyBorder="1" applyAlignment="1">
      <alignment horizontal="left"/>
    </xf>
    <xf numFmtId="0" fontId="1" fillId="2" borderId="20" xfId="0" applyFont="1" applyFill="1" applyBorder="1" applyAlignment="1">
      <alignment horizontal="left"/>
    </xf>
    <xf numFmtId="0" fontId="16" fillId="4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6" fillId="9" borderId="0" xfId="0" applyFont="1" applyFill="1" applyAlignment="1">
      <alignment horizontal="center"/>
    </xf>
    <xf numFmtId="0" fontId="8" fillId="3" borderId="6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9" fillId="6" borderId="0" xfId="0" applyFont="1" applyFill="1" applyBorder="1" applyAlignment="1">
      <alignment horizontal="center"/>
    </xf>
  </cellXfs>
  <cellStyles count="5">
    <cellStyle name="Hiperlink" xfId="1" builtinId="8"/>
    <cellStyle name="Hiperlink 2" xfId="3"/>
    <cellStyle name="Moeda" xfId="4" builtinId="4"/>
    <cellStyle name="Normal" xfId="0" builtinId="0"/>
    <cellStyle name="Normal 2" xfId="2"/>
  </cellStyles>
  <dxfs count="0"/>
  <tableStyles count="0" defaultTableStyle="TableStyleMedium9" defaultPivotStyle="PivotStyleLight16"/>
  <colors>
    <mruColors>
      <color rgb="FFFFE699"/>
      <color rgb="FFF9F37F"/>
      <color rgb="FFFFFF66"/>
      <color rgb="FF5BD54B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quantosobra.com.br/teste-gratuito-lp/" TargetMode="External"/><Relationship Id="rId3" Type="http://schemas.openxmlformats.org/officeDocument/2006/relationships/hyperlink" Target="https://blog.quantosobra.com.br/" TargetMode="External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channel/UCCk0bltUk3AeCjmm45IbKuQ" TargetMode="External"/><Relationship Id="rId6" Type="http://schemas.openxmlformats.org/officeDocument/2006/relationships/image" Target="../media/image3.png"/><Relationship Id="rId5" Type="http://schemas.openxmlformats.org/officeDocument/2006/relationships/hyperlink" Target="https://www.quantosobra.com.br/" TargetMode="External"/><Relationship Id="rId4" Type="http://schemas.openxmlformats.org/officeDocument/2006/relationships/image" Target="../media/image2.png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65707</xdr:colOff>
      <xdr:row>7</xdr:row>
      <xdr:rowOff>133350</xdr:rowOff>
    </xdr:from>
    <xdr:ext cx="515676" cy="390774"/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CB388B7-A111-41AC-B1A1-3A107F27860B}"/>
            </a:ext>
            <a:ext uri="{147F2762-F138-4A5C-976F-8EAC2B608ADB}">
              <a16:predDERef xmlns="" xmlns:a16="http://schemas.microsoft.com/office/drawing/2014/main" pred="{D5EE0821-1A39-4695-89D8-FDA4ACED2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07" y="1438275"/>
          <a:ext cx="515676" cy="390774"/>
        </a:xfrm>
        <a:prstGeom prst="rect">
          <a:avLst/>
        </a:prstGeom>
      </xdr:spPr>
    </xdr:pic>
    <xdr:clientData/>
  </xdr:oneCellAnchor>
  <xdr:oneCellAnchor>
    <xdr:from>
      <xdr:col>0</xdr:col>
      <xdr:colOff>133351</xdr:colOff>
      <xdr:row>9</xdr:row>
      <xdr:rowOff>171450</xdr:rowOff>
    </xdr:from>
    <xdr:ext cx="390524" cy="409574"/>
    <xdr:pic>
      <xdr:nvPicPr>
        <xdr:cNvPr id="4" name="Imagem 3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A4EECEB8-FBB4-436B-9966-00FB8EEEE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1" y="1905000"/>
          <a:ext cx="390524" cy="409574"/>
        </a:xfrm>
        <a:prstGeom prst="rect">
          <a:avLst/>
        </a:prstGeom>
      </xdr:spPr>
    </xdr:pic>
    <xdr:clientData/>
  </xdr:oneCellAnchor>
  <xdr:oneCellAnchor>
    <xdr:from>
      <xdr:col>0</xdr:col>
      <xdr:colOff>104775</xdr:colOff>
      <xdr:row>0</xdr:row>
      <xdr:rowOff>19050</xdr:rowOff>
    </xdr:from>
    <xdr:ext cx="2771982" cy="447675"/>
    <xdr:pic>
      <xdr:nvPicPr>
        <xdr:cNvPr id="6" name="Imagem 5">
          <a:hlinkClick xmlns:r="http://schemas.openxmlformats.org/officeDocument/2006/relationships" r:id="rId5"/>
          <a:extLst>
            <a:ext uri="{FF2B5EF4-FFF2-40B4-BE49-F238E27FC236}">
              <a16:creationId xmlns="" xmlns:a16="http://schemas.microsoft.com/office/drawing/2014/main" id="{BAD13ABE-6733-4065-A6B8-8F15A759C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9050"/>
          <a:ext cx="2771982" cy="447675"/>
        </a:xfrm>
        <a:prstGeom prst="rect">
          <a:avLst/>
        </a:prstGeom>
      </xdr:spPr>
    </xdr:pic>
    <xdr:clientData/>
  </xdr:oneCellAnchor>
  <xdr:oneCellAnchor>
    <xdr:from>
      <xdr:col>4</xdr:col>
      <xdr:colOff>590550</xdr:colOff>
      <xdr:row>2</xdr:row>
      <xdr:rowOff>19052</xdr:rowOff>
    </xdr:from>
    <xdr:ext cx="1133475" cy="183056"/>
    <xdr:pic>
      <xdr:nvPicPr>
        <xdr:cNvPr id="7" name="Imagem 6">
          <a:hlinkClick xmlns:r="http://schemas.openxmlformats.org/officeDocument/2006/relationships" r:id="rId5"/>
          <a:extLst>
            <a:ext uri="{FF2B5EF4-FFF2-40B4-BE49-F238E27FC236}">
              <a16:creationId xmlns="" xmlns:a16="http://schemas.microsoft.com/office/drawing/2014/main" id="{1BCC2D55-C557-4142-A508-F7B0905F1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0" y="495302"/>
          <a:ext cx="1133475" cy="183056"/>
        </a:xfrm>
        <a:prstGeom prst="rect">
          <a:avLst/>
        </a:prstGeom>
      </xdr:spPr>
    </xdr:pic>
    <xdr:clientData/>
  </xdr:oneCellAnchor>
  <xdr:twoCellAnchor editAs="oneCell">
    <xdr:from>
      <xdr:col>0</xdr:col>
      <xdr:colOff>76200</xdr:colOff>
      <xdr:row>12</xdr:row>
      <xdr:rowOff>47625</xdr:rowOff>
    </xdr:from>
    <xdr:to>
      <xdr:col>15</xdr:col>
      <xdr:colOff>179851</xdr:colOff>
      <xdr:row>18</xdr:row>
      <xdr:rowOff>42293</xdr:rowOff>
    </xdr:to>
    <xdr:pic>
      <xdr:nvPicPr>
        <xdr:cNvPr id="9" name="Imagem 8">
          <a:hlinkClick xmlns:r="http://schemas.openxmlformats.org/officeDocument/2006/relationships" r:id="rId8"/>
          <a:extLst>
            <a:ext uri="{FF2B5EF4-FFF2-40B4-BE49-F238E27FC236}">
              <a16:creationId xmlns="" xmlns:a16="http://schemas.microsoft.com/office/drawing/2014/main" id="{DCFD7561-629B-4BDC-A557-419A946E3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895600"/>
          <a:ext cx="9247651" cy="11948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2</xdr:row>
      <xdr:rowOff>161924</xdr:rowOff>
    </xdr:from>
    <xdr:to>
      <xdr:col>7</xdr:col>
      <xdr:colOff>838200</xdr:colOff>
      <xdr:row>6</xdr:row>
      <xdr:rowOff>57150</xdr:rowOff>
    </xdr:to>
    <xdr:sp macro="" textlink="">
      <xdr:nvSpPr>
        <xdr:cNvPr id="4" name="CaixaDeTexto 3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5172075" y="790574"/>
          <a:ext cx="1219200" cy="8858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000" i="1"/>
            <a:t>Insira aqui o</a:t>
          </a:r>
          <a:r>
            <a:rPr lang="pt-BR" sz="1000" i="1" baseline="0"/>
            <a:t> produto adquirido + eventuais custos com embalagem ou etiqueta</a:t>
          </a:r>
          <a:endParaRPr lang="pt-BR" sz="1100"/>
        </a:p>
      </xdr:txBody>
    </xdr:sp>
    <xdr:clientData/>
  </xdr:twoCellAnchor>
  <xdr:twoCellAnchor>
    <xdr:from>
      <xdr:col>5</xdr:col>
      <xdr:colOff>95250</xdr:colOff>
      <xdr:row>5</xdr:row>
      <xdr:rowOff>9525</xdr:rowOff>
    </xdr:from>
    <xdr:to>
      <xdr:col>6</xdr:col>
      <xdr:colOff>161925</xdr:colOff>
      <xdr:row>7</xdr:row>
      <xdr:rowOff>57151</xdr:rowOff>
    </xdr:to>
    <xdr:cxnSp macro="">
      <xdr:nvCxnSpPr>
        <xdr:cNvPr id="5" name="Conector de seta reta 4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CxnSpPr/>
      </xdr:nvCxnSpPr>
      <xdr:spPr>
        <a:xfrm flipV="1">
          <a:off x="4429125" y="1428750"/>
          <a:ext cx="676275" cy="438151"/>
        </a:xfrm>
        <a:prstGeom prst="straightConnector1">
          <a:avLst/>
        </a:prstGeom>
        <a:ln>
          <a:solidFill>
            <a:schemeClr val="bg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47625</xdr:colOff>
      <xdr:row>8</xdr:row>
      <xdr:rowOff>133350</xdr:rowOff>
    </xdr:from>
    <xdr:to>
      <xdr:col>6</xdr:col>
      <xdr:colOff>180975</xdr:colOff>
      <xdr:row>10</xdr:row>
      <xdr:rowOff>95250</xdr:rowOff>
    </xdr:to>
    <xdr:cxnSp macro="">
      <xdr:nvCxnSpPr>
        <xdr:cNvPr id="6" name="Conector de seta reta 5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CxnSpPr/>
      </xdr:nvCxnSpPr>
      <xdr:spPr>
        <a:xfrm flipV="1">
          <a:off x="4152900" y="2095500"/>
          <a:ext cx="742950" cy="342900"/>
        </a:xfrm>
        <a:prstGeom prst="straightConnector1">
          <a:avLst/>
        </a:prstGeom>
        <a:ln>
          <a:solidFill>
            <a:schemeClr val="bg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304800</xdr:colOff>
      <xdr:row>6</xdr:row>
      <xdr:rowOff>171449</xdr:rowOff>
    </xdr:from>
    <xdr:to>
      <xdr:col>7</xdr:col>
      <xdr:colOff>885825</xdr:colOff>
      <xdr:row>10</xdr:row>
      <xdr:rowOff>114300</xdr:rowOff>
    </xdr:to>
    <xdr:sp macro="" textlink="">
      <xdr:nvSpPr>
        <xdr:cNvPr id="7" name="CaixaDeTexto 6"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5019675" y="1752599"/>
          <a:ext cx="1190625" cy="7048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000" i="1"/>
            <a:t>Altere sua margem para prever o preço de venda</a:t>
          </a:r>
          <a:r>
            <a:rPr lang="pt-BR" sz="1000" i="1" baseline="0"/>
            <a:t> que irá utilizar. </a:t>
          </a:r>
          <a:endParaRPr lang="pt-BR" sz="1000" i="1"/>
        </a:p>
        <a:p>
          <a:endParaRPr lang="pt-BR" sz="1000" i="1" baseline="0"/>
        </a:p>
        <a:p>
          <a:endParaRPr lang="pt-BR" sz="1100"/>
        </a:p>
      </xdr:txBody>
    </xdr:sp>
    <xdr:clientData/>
  </xdr:twoCellAnchor>
  <xdr:twoCellAnchor>
    <xdr:from>
      <xdr:col>5</xdr:col>
      <xdr:colOff>85725</xdr:colOff>
      <xdr:row>13</xdr:row>
      <xdr:rowOff>171450</xdr:rowOff>
    </xdr:from>
    <xdr:to>
      <xdr:col>6</xdr:col>
      <xdr:colOff>171450</xdr:colOff>
      <xdr:row>15</xdr:row>
      <xdr:rowOff>9525</xdr:rowOff>
    </xdr:to>
    <xdr:cxnSp macro="">
      <xdr:nvCxnSpPr>
        <xdr:cNvPr id="8" name="Conector de seta reta 7">
          <a:extLst>
            <a:ext uri="{FF2B5EF4-FFF2-40B4-BE49-F238E27FC236}">
              <a16:creationId xmlns="" xmlns:a16="http://schemas.microsoft.com/office/drawing/2014/main" id="{00000000-0008-0000-0200-000008000000}"/>
            </a:ext>
          </a:extLst>
        </xdr:cNvPr>
        <xdr:cNvCxnSpPr/>
      </xdr:nvCxnSpPr>
      <xdr:spPr>
        <a:xfrm flipV="1">
          <a:off x="4191000" y="3086100"/>
          <a:ext cx="695325" cy="219075"/>
        </a:xfrm>
        <a:prstGeom prst="straightConnector1">
          <a:avLst/>
        </a:prstGeom>
        <a:ln>
          <a:solidFill>
            <a:schemeClr val="bg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409575</xdr:colOff>
      <xdr:row>11</xdr:row>
      <xdr:rowOff>28575</xdr:rowOff>
    </xdr:from>
    <xdr:to>
      <xdr:col>8</xdr:col>
      <xdr:colOff>190500</xdr:colOff>
      <xdr:row>17</xdr:row>
      <xdr:rowOff>104775</xdr:rowOff>
    </xdr:to>
    <xdr:sp macro="" textlink="">
      <xdr:nvSpPr>
        <xdr:cNvPr id="9" name="CaixaDeTexto 8">
          <a:extLst>
            <a:ext uri="{FF2B5EF4-FFF2-40B4-BE49-F238E27FC236}">
              <a16:creationId xmlns=""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5124450" y="2562225"/>
          <a:ext cx="1304925" cy="1219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000" i="1"/>
            <a:t>Liste</a:t>
          </a:r>
          <a:r>
            <a:rPr lang="pt-BR" sz="1000" i="1" baseline="0"/>
            <a:t> aqui seus custos variáveis e fixos sobre as vendas, alterando apenas o %. Assim você simula o resultado líquido de sua venda.</a:t>
          </a:r>
          <a:endParaRPr lang="pt-BR" sz="1000" i="1"/>
        </a:p>
        <a:p>
          <a:endParaRPr lang="pt-BR" sz="1000" i="1" baseline="0"/>
        </a:p>
        <a:p>
          <a:endParaRPr lang="pt-BR" sz="1100"/>
        </a:p>
      </xdr:txBody>
    </xdr:sp>
    <xdr:clientData/>
  </xdr:twoCellAnchor>
  <xdr:twoCellAnchor>
    <xdr:from>
      <xdr:col>6</xdr:col>
      <xdr:colOff>238125</xdr:colOff>
      <xdr:row>18</xdr:row>
      <xdr:rowOff>38101</xdr:rowOff>
    </xdr:from>
    <xdr:to>
      <xdr:col>8</xdr:col>
      <xdr:colOff>9525</xdr:colOff>
      <xdr:row>21</xdr:row>
      <xdr:rowOff>457201</xdr:rowOff>
    </xdr:to>
    <xdr:sp macro="" textlink="">
      <xdr:nvSpPr>
        <xdr:cNvPr id="11" name="CaixaDeTexto 10">
          <a:extLst>
            <a:ext uri="{FF2B5EF4-FFF2-40B4-BE49-F238E27FC236}">
              <a16:creationId xmlns=""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5095875" y="3905251"/>
          <a:ext cx="1295400" cy="99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000" i="1"/>
            <a:t>Analise o resultado de sua venda,</a:t>
          </a:r>
          <a:r>
            <a:rPr lang="pt-BR" sz="1000" i="1" baseline="0"/>
            <a:t> de acordo com o cenário de compra e seus custos aplicados.</a:t>
          </a:r>
        </a:p>
        <a:p>
          <a:endParaRPr lang="pt-BR" sz="1000" i="1"/>
        </a:p>
        <a:p>
          <a:endParaRPr lang="pt-BR" sz="1000" i="1" baseline="0"/>
        </a:p>
        <a:p>
          <a:endParaRPr lang="pt-BR" sz="1100"/>
        </a:p>
      </xdr:txBody>
    </xdr:sp>
    <xdr:clientData/>
  </xdr:twoCellAnchor>
  <xdr:twoCellAnchor>
    <xdr:from>
      <xdr:col>5</xdr:col>
      <xdr:colOff>76200</xdr:colOff>
      <xdr:row>19</xdr:row>
      <xdr:rowOff>19051</xdr:rowOff>
    </xdr:from>
    <xdr:to>
      <xdr:col>6</xdr:col>
      <xdr:colOff>104775</xdr:colOff>
      <xdr:row>20</xdr:row>
      <xdr:rowOff>19050</xdr:rowOff>
    </xdr:to>
    <xdr:cxnSp macro="">
      <xdr:nvCxnSpPr>
        <xdr:cNvPr id="13" name="Conector de seta reta 12">
          <a:extLst>
            <a:ext uri="{FF2B5EF4-FFF2-40B4-BE49-F238E27FC236}">
              <a16:creationId xmlns="" xmlns:a16="http://schemas.microsoft.com/office/drawing/2014/main" id="{00000000-0008-0000-0200-00000D000000}"/>
            </a:ext>
          </a:extLst>
        </xdr:cNvPr>
        <xdr:cNvCxnSpPr/>
      </xdr:nvCxnSpPr>
      <xdr:spPr>
        <a:xfrm>
          <a:off x="4324350" y="4076701"/>
          <a:ext cx="638175" cy="190499"/>
        </a:xfrm>
        <a:prstGeom prst="straightConnector1">
          <a:avLst/>
        </a:prstGeom>
        <a:ln>
          <a:solidFill>
            <a:schemeClr val="bg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133350</xdr:colOff>
      <xdr:row>1</xdr:row>
      <xdr:rowOff>85725</xdr:rowOff>
    </xdr:from>
    <xdr:to>
      <xdr:col>10</xdr:col>
      <xdr:colOff>161925</xdr:colOff>
      <xdr:row>4</xdr:row>
      <xdr:rowOff>9525</xdr:rowOff>
    </xdr:to>
    <xdr:sp macro="" textlink="">
      <xdr:nvSpPr>
        <xdr:cNvPr id="16" name="Seta para a direita 15">
          <a:extLst>
            <a:ext uri="{FF2B5EF4-FFF2-40B4-BE49-F238E27FC236}">
              <a16:creationId xmlns="" xmlns:a16="http://schemas.microsoft.com/office/drawing/2014/main" id="{00000000-0008-0000-0200-000010000000}"/>
            </a:ext>
          </a:extLst>
        </xdr:cNvPr>
        <xdr:cNvSpPr/>
      </xdr:nvSpPr>
      <xdr:spPr>
        <a:xfrm>
          <a:off x="6600825" y="438150"/>
          <a:ext cx="1247775" cy="733425"/>
        </a:xfrm>
        <a:prstGeom prst="rightArrow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</a:rPr>
            <a:t>SUA VEZ</a:t>
          </a:r>
        </a:p>
      </xdr:txBody>
    </xdr:sp>
    <xdr:clientData/>
  </xdr:twoCellAnchor>
  <xdr:twoCellAnchor>
    <xdr:from>
      <xdr:col>1</xdr:col>
      <xdr:colOff>561975</xdr:colOff>
      <xdr:row>21</xdr:row>
      <xdr:rowOff>209548</xdr:rowOff>
    </xdr:from>
    <xdr:to>
      <xdr:col>13</xdr:col>
      <xdr:colOff>457200</xdr:colOff>
      <xdr:row>26</xdr:row>
      <xdr:rowOff>38099</xdr:rowOff>
    </xdr:to>
    <xdr:sp macro="" textlink="">
      <xdr:nvSpPr>
        <xdr:cNvPr id="17" name="Seta dobrada 16">
          <a:extLst>
            <a:ext uri="{FF2B5EF4-FFF2-40B4-BE49-F238E27FC236}">
              <a16:creationId xmlns="" xmlns:a16="http://schemas.microsoft.com/office/drawing/2014/main" id="{00000000-0008-0000-0200-000011000000}"/>
            </a:ext>
          </a:extLst>
        </xdr:cNvPr>
        <xdr:cNvSpPr/>
      </xdr:nvSpPr>
      <xdr:spPr>
        <a:xfrm rot="10800000">
          <a:off x="2000250" y="4667248"/>
          <a:ext cx="8763000" cy="1152526"/>
        </a:xfrm>
        <a:prstGeom prst="bentArrow">
          <a:avLst>
            <a:gd name="adj1" fmla="val 14743"/>
            <a:gd name="adj2" fmla="val 17308"/>
            <a:gd name="adj3" fmla="val 25000"/>
            <a:gd name="adj4" fmla="val 4375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219074</xdr:colOff>
      <xdr:row>45</xdr:row>
      <xdr:rowOff>85725</xdr:rowOff>
    </xdr:from>
    <xdr:to>
      <xdr:col>13</xdr:col>
      <xdr:colOff>114299</xdr:colOff>
      <xdr:row>50</xdr:row>
      <xdr:rowOff>95250</xdr:rowOff>
    </xdr:to>
    <xdr:sp macro="" textlink="">
      <xdr:nvSpPr>
        <xdr:cNvPr id="18" name="Seta dobrada 17">
          <a:extLst>
            <a:ext uri="{FF2B5EF4-FFF2-40B4-BE49-F238E27FC236}">
              <a16:creationId xmlns="" xmlns:a16="http://schemas.microsoft.com/office/drawing/2014/main" id="{00000000-0008-0000-0200-000012000000}"/>
            </a:ext>
          </a:extLst>
        </xdr:cNvPr>
        <xdr:cNvSpPr/>
      </xdr:nvSpPr>
      <xdr:spPr>
        <a:xfrm rot="10800000">
          <a:off x="1657349" y="9705975"/>
          <a:ext cx="8848725" cy="962025"/>
        </a:xfrm>
        <a:prstGeom prst="bentArrow">
          <a:avLst>
            <a:gd name="adj1" fmla="val 14743"/>
            <a:gd name="adj2" fmla="val 17308"/>
            <a:gd name="adj3" fmla="val 25000"/>
            <a:gd name="adj4" fmla="val 4375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600075</xdr:colOff>
      <xdr:row>0</xdr:row>
      <xdr:rowOff>0</xdr:rowOff>
    </xdr:from>
    <xdr:to>
      <xdr:col>8</xdr:col>
      <xdr:colOff>438150</xdr:colOff>
      <xdr:row>2</xdr:row>
      <xdr:rowOff>114300</xdr:rowOff>
    </xdr:to>
    <xdr:sp macro="" textlink="">
      <xdr:nvSpPr>
        <xdr:cNvPr id="3" name="Texto Explicativo em Nuvem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3486150" y="0"/>
          <a:ext cx="3419475" cy="742950"/>
        </a:xfrm>
        <a:prstGeom prst="cloudCallout">
          <a:avLst>
            <a:gd name="adj1" fmla="val -22734"/>
            <a:gd name="adj2" fmla="val 95527"/>
          </a:avLst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ysClr val="windowText" lastClr="000000"/>
              </a:solidFill>
            </a:rPr>
            <a:t>ISTO É UM EXEMPLO, PREENCHA O SEU PRODUTO AO LADO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247650</xdr:colOff>
      <xdr:row>2</xdr:row>
      <xdr:rowOff>381000</xdr:rowOff>
    </xdr:from>
    <xdr:to>
      <xdr:col>7</xdr:col>
      <xdr:colOff>933450</xdr:colOff>
      <xdr:row>4</xdr:row>
      <xdr:rowOff>133350</xdr:rowOff>
    </xdr:to>
    <xdr:sp macro="" textlink="">
      <xdr:nvSpPr>
        <xdr:cNvPr id="4" name="CaixaDeTexto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924425" y="952500"/>
          <a:ext cx="1295400" cy="581025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000" i="1"/>
            <a:t>Insira aqui todas</a:t>
          </a:r>
          <a:r>
            <a:rPr lang="pt-BR" sz="1000" i="1" baseline="0"/>
            <a:t> matérias primas que compõe seu produto.</a:t>
          </a:r>
        </a:p>
        <a:p>
          <a:endParaRPr lang="pt-BR" sz="1100"/>
        </a:p>
      </xdr:txBody>
    </xdr:sp>
    <xdr:clientData/>
  </xdr:twoCellAnchor>
  <xdr:twoCellAnchor>
    <xdr:from>
      <xdr:col>5</xdr:col>
      <xdr:colOff>142875</xdr:colOff>
      <xdr:row>4</xdr:row>
      <xdr:rowOff>238125</xdr:rowOff>
    </xdr:from>
    <xdr:to>
      <xdr:col>6</xdr:col>
      <xdr:colOff>190503</xdr:colOff>
      <xdr:row>8</xdr:row>
      <xdr:rowOff>19051</xdr:rowOff>
    </xdr:to>
    <xdr:cxnSp macro="">
      <xdr:nvCxnSpPr>
        <xdr:cNvPr id="6" name="Conector de seta reta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CxnSpPr/>
      </xdr:nvCxnSpPr>
      <xdr:spPr>
        <a:xfrm flipV="1">
          <a:off x="4210050" y="1638300"/>
          <a:ext cx="657228" cy="609601"/>
        </a:xfrm>
        <a:prstGeom prst="straightConnector1">
          <a:avLst/>
        </a:prstGeom>
        <a:ln>
          <a:solidFill>
            <a:schemeClr val="bg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10</xdr:row>
      <xdr:rowOff>85725</xdr:rowOff>
    </xdr:from>
    <xdr:to>
      <xdr:col>6</xdr:col>
      <xdr:colOff>247650</xdr:colOff>
      <xdr:row>12</xdr:row>
      <xdr:rowOff>47625</xdr:rowOff>
    </xdr:to>
    <xdr:cxnSp macro="">
      <xdr:nvCxnSpPr>
        <xdr:cNvPr id="7" name="Conector de seta reta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CxnSpPr/>
      </xdr:nvCxnSpPr>
      <xdr:spPr>
        <a:xfrm flipV="1">
          <a:off x="4181475" y="2676525"/>
          <a:ext cx="742950" cy="342900"/>
        </a:xfrm>
        <a:prstGeom prst="straightConnector1">
          <a:avLst/>
        </a:prstGeom>
        <a:ln>
          <a:solidFill>
            <a:schemeClr val="bg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333375</xdr:colOff>
      <xdr:row>7</xdr:row>
      <xdr:rowOff>28574</xdr:rowOff>
    </xdr:from>
    <xdr:to>
      <xdr:col>7</xdr:col>
      <xdr:colOff>1019175</xdr:colOff>
      <xdr:row>10</xdr:row>
      <xdr:rowOff>161925</xdr:rowOff>
    </xdr:to>
    <xdr:sp macro="" textlink="">
      <xdr:nvSpPr>
        <xdr:cNvPr id="9" name="CaixaDeTexto 8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5010150" y="2047874"/>
          <a:ext cx="1295400" cy="704851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000" i="1"/>
            <a:t>Altere sua margem para prever o preço de venda</a:t>
          </a:r>
          <a:r>
            <a:rPr lang="pt-BR" sz="1000" i="1" baseline="0"/>
            <a:t> que irá utilizar. </a:t>
          </a:r>
          <a:endParaRPr lang="pt-BR" sz="1000" i="1"/>
        </a:p>
        <a:p>
          <a:endParaRPr lang="pt-BR" sz="1000" i="1" baseline="0"/>
        </a:p>
        <a:p>
          <a:endParaRPr lang="pt-BR" sz="1100"/>
        </a:p>
      </xdr:txBody>
    </xdr:sp>
    <xdr:clientData/>
  </xdr:twoCellAnchor>
  <xdr:twoCellAnchor>
    <xdr:from>
      <xdr:col>5</xdr:col>
      <xdr:colOff>76200</xdr:colOff>
      <xdr:row>15</xdr:row>
      <xdr:rowOff>123825</xdr:rowOff>
    </xdr:from>
    <xdr:to>
      <xdr:col>6</xdr:col>
      <xdr:colOff>161925</xdr:colOff>
      <xdr:row>16</xdr:row>
      <xdr:rowOff>152400</xdr:rowOff>
    </xdr:to>
    <xdr:cxnSp macro="">
      <xdr:nvCxnSpPr>
        <xdr:cNvPr id="10" name="Conector de seta reta 9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CxnSpPr/>
      </xdr:nvCxnSpPr>
      <xdr:spPr>
        <a:xfrm flipV="1">
          <a:off x="4143375" y="3667125"/>
          <a:ext cx="695325" cy="219075"/>
        </a:xfrm>
        <a:prstGeom prst="straightConnector1">
          <a:avLst/>
        </a:prstGeom>
        <a:ln>
          <a:solidFill>
            <a:schemeClr val="bg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295275</xdr:colOff>
      <xdr:row>11</xdr:row>
      <xdr:rowOff>133350</xdr:rowOff>
    </xdr:from>
    <xdr:to>
      <xdr:col>7</xdr:col>
      <xdr:colOff>981075</xdr:colOff>
      <xdr:row>17</xdr:row>
      <xdr:rowOff>152400</xdr:rowOff>
    </xdr:to>
    <xdr:sp macro="" textlink="">
      <xdr:nvSpPr>
        <xdr:cNvPr id="12" name="CaixaDeTexto 11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4972050" y="2914650"/>
          <a:ext cx="1295400" cy="1162050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000" i="1"/>
            <a:t>Liste</a:t>
          </a:r>
          <a:r>
            <a:rPr lang="pt-BR" sz="1000" i="1" baseline="0"/>
            <a:t> aqui seus custos variáveis e fixos sobre as vendas, alterando apenas o %. Assim você simula o resultado líquido de sua venda.</a:t>
          </a:r>
          <a:endParaRPr lang="pt-BR" sz="1000" i="1"/>
        </a:p>
        <a:p>
          <a:endParaRPr lang="pt-BR" sz="1000" i="1" baseline="0"/>
        </a:p>
        <a:p>
          <a:endParaRPr lang="pt-BR" sz="1100"/>
        </a:p>
      </xdr:txBody>
    </xdr:sp>
    <xdr:clientData/>
  </xdr:twoCellAnchor>
  <xdr:twoCellAnchor>
    <xdr:from>
      <xdr:col>5</xdr:col>
      <xdr:colOff>19050</xdr:colOff>
      <xdr:row>20</xdr:row>
      <xdr:rowOff>161925</xdr:rowOff>
    </xdr:from>
    <xdr:to>
      <xdr:col>6</xdr:col>
      <xdr:colOff>95250</xdr:colOff>
      <xdr:row>20</xdr:row>
      <xdr:rowOff>180976</xdr:rowOff>
    </xdr:to>
    <xdr:cxnSp macro="">
      <xdr:nvCxnSpPr>
        <xdr:cNvPr id="13" name="Conector de seta reta 12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CxnSpPr/>
      </xdr:nvCxnSpPr>
      <xdr:spPr>
        <a:xfrm flipV="1">
          <a:off x="4086225" y="4657725"/>
          <a:ext cx="685800" cy="19051"/>
        </a:xfrm>
        <a:prstGeom prst="straightConnector1">
          <a:avLst/>
        </a:prstGeom>
        <a:ln>
          <a:solidFill>
            <a:schemeClr val="bg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209550</xdr:colOff>
      <xdr:row>18</xdr:row>
      <xdr:rowOff>95250</xdr:rowOff>
    </xdr:from>
    <xdr:to>
      <xdr:col>7</xdr:col>
      <xdr:colOff>895350</xdr:colOff>
      <xdr:row>23</xdr:row>
      <xdr:rowOff>114300</xdr:rowOff>
    </xdr:to>
    <xdr:sp macro="" textlink="">
      <xdr:nvSpPr>
        <xdr:cNvPr id="15" name="CaixaDeTexto 14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4886325" y="4210050"/>
          <a:ext cx="1295400" cy="971550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000" i="1"/>
            <a:t>Analise o resultado de sua venda,</a:t>
          </a:r>
          <a:r>
            <a:rPr lang="pt-BR" sz="1000" i="1" baseline="0"/>
            <a:t> lembrando que na média da indústria Brasileira o lucro é de 5 - 14%</a:t>
          </a:r>
        </a:p>
        <a:p>
          <a:endParaRPr lang="pt-BR" sz="1000" i="1"/>
        </a:p>
        <a:p>
          <a:endParaRPr lang="pt-BR" sz="1000" i="1" baseline="0"/>
        </a:p>
        <a:p>
          <a:endParaRPr lang="pt-BR" sz="1100"/>
        </a:p>
      </xdr:txBody>
    </xdr:sp>
    <xdr:clientData/>
  </xdr:twoCellAnchor>
  <xdr:twoCellAnchor>
    <xdr:from>
      <xdr:col>3</xdr:col>
      <xdr:colOff>57150</xdr:colOff>
      <xdr:row>23</xdr:row>
      <xdr:rowOff>171449</xdr:rowOff>
    </xdr:from>
    <xdr:to>
      <xdr:col>11</xdr:col>
      <xdr:colOff>152400</xdr:colOff>
      <xdr:row>27</xdr:row>
      <xdr:rowOff>28574</xdr:rowOff>
    </xdr:to>
    <xdr:sp macro="" textlink="">
      <xdr:nvSpPr>
        <xdr:cNvPr id="24" name="Seta dobrada 23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SpPr/>
      </xdr:nvSpPr>
      <xdr:spPr>
        <a:xfrm rot="10800000">
          <a:off x="2743200" y="5248274"/>
          <a:ext cx="7029450" cy="619125"/>
        </a:xfrm>
        <a:prstGeom prst="ben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152400</xdr:colOff>
      <xdr:row>50</xdr:row>
      <xdr:rowOff>47625</xdr:rowOff>
    </xdr:from>
    <xdr:to>
      <xdr:col>11</xdr:col>
      <xdr:colOff>247650</xdr:colOff>
      <xdr:row>53</xdr:row>
      <xdr:rowOff>95250</xdr:rowOff>
    </xdr:to>
    <xdr:sp macro="" textlink="">
      <xdr:nvSpPr>
        <xdr:cNvPr id="25" name="Seta dobrada 24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SpPr/>
      </xdr:nvSpPr>
      <xdr:spPr>
        <a:xfrm rot="10800000">
          <a:off x="2838450" y="10296525"/>
          <a:ext cx="7029450" cy="619125"/>
        </a:xfrm>
        <a:prstGeom prst="ben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962026</xdr:colOff>
      <xdr:row>1</xdr:row>
      <xdr:rowOff>95251</xdr:rowOff>
    </xdr:from>
    <xdr:to>
      <xdr:col>9</xdr:col>
      <xdr:colOff>133351</xdr:colOff>
      <xdr:row>3</xdr:row>
      <xdr:rowOff>9526</xdr:rowOff>
    </xdr:to>
    <xdr:sp macro="" textlink="">
      <xdr:nvSpPr>
        <xdr:cNvPr id="17" name="Seta para a direita 15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SpPr/>
      </xdr:nvSpPr>
      <xdr:spPr>
        <a:xfrm>
          <a:off x="6248401" y="400051"/>
          <a:ext cx="1123950" cy="666750"/>
        </a:xfrm>
        <a:prstGeom prst="rightArrow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</a:rPr>
            <a:t>SUA VEZ</a:t>
          </a:r>
        </a:p>
      </xdr:txBody>
    </xdr:sp>
    <xdr:clientData/>
  </xdr:twoCellAnchor>
  <xdr:twoCellAnchor>
    <xdr:from>
      <xdr:col>3</xdr:col>
      <xdr:colOff>561975</xdr:colOff>
      <xdr:row>0</xdr:row>
      <xdr:rowOff>57150</xdr:rowOff>
    </xdr:from>
    <xdr:to>
      <xdr:col>7</xdr:col>
      <xdr:colOff>1266825</xdr:colOff>
      <xdr:row>2</xdr:row>
      <xdr:rowOff>161925</xdr:rowOff>
    </xdr:to>
    <xdr:sp macro="" textlink="">
      <xdr:nvSpPr>
        <xdr:cNvPr id="18" name="Texto Explicativo em Nuvem 17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SpPr/>
      </xdr:nvSpPr>
      <xdr:spPr>
        <a:xfrm>
          <a:off x="3248025" y="57150"/>
          <a:ext cx="3305175" cy="676275"/>
        </a:xfrm>
        <a:prstGeom prst="cloudCallout">
          <a:avLst>
            <a:gd name="adj1" fmla="val -20257"/>
            <a:gd name="adj2" fmla="val 144190"/>
          </a:avLst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ysClr val="windowText" lastClr="000000"/>
              </a:solidFill>
            </a:rPr>
            <a:t>ISTO É UM EXEMPLO, PREENCHA O SEU PRODUTO AO LADO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blog.quantosobra.com.br/" TargetMode="External"/><Relationship Id="rId1" Type="http://schemas.openxmlformats.org/officeDocument/2006/relationships/hyperlink" Target="https://www.youtube.com/channel/UCCk0bltUk3AeCjmm45IbKuQ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I26"/>
  <sheetViews>
    <sheetView showGridLines="0" showRowColHeaders="0" workbookViewId="0">
      <selection activeCell="A6" sqref="A6"/>
    </sheetView>
  </sheetViews>
  <sheetFormatPr defaultRowHeight="15" x14ac:dyDescent="0.25"/>
  <sheetData>
    <row r="1" spans="1:9" ht="18.75" x14ac:dyDescent="0.3">
      <c r="A1" s="25"/>
      <c r="B1" s="26"/>
      <c r="C1" s="25"/>
      <c r="D1" s="25"/>
      <c r="E1" s="25"/>
      <c r="F1" s="25"/>
    </row>
    <row r="2" spans="1:9" ht="18.75" x14ac:dyDescent="0.3">
      <c r="A2" s="25"/>
      <c r="B2" s="26"/>
      <c r="C2" s="25"/>
      <c r="D2" s="25"/>
      <c r="E2" s="25"/>
      <c r="F2" s="25"/>
    </row>
    <row r="3" spans="1:9" ht="17.25" customHeight="1" x14ac:dyDescent="0.3">
      <c r="A3" s="27" t="s">
        <v>45</v>
      </c>
      <c r="B3" s="26"/>
      <c r="C3" s="25"/>
      <c r="D3" s="25"/>
      <c r="E3" s="25"/>
      <c r="F3" s="25"/>
    </row>
    <row r="4" spans="1:9" ht="6.75" customHeight="1" thickBot="1" x14ac:dyDescent="0.35">
      <c r="A4" s="28"/>
      <c r="B4" s="29"/>
      <c r="C4" s="28"/>
      <c r="D4" s="28"/>
      <c r="E4" s="28"/>
      <c r="F4" s="28"/>
    </row>
    <row r="5" spans="1:9" ht="18.75" x14ac:dyDescent="0.3">
      <c r="A5" s="30" t="s">
        <v>46</v>
      </c>
      <c r="B5" s="26"/>
      <c r="C5" s="25"/>
      <c r="D5" s="25"/>
      <c r="E5" s="25"/>
      <c r="F5" s="25"/>
    </row>
    <row r="6" spans="1:9" ht="18.75" x14ac:dyDescent="0.3">
      <c r="A6" s="31" t="s">
        <v>47</v>
      </c>
      <c r="B6" s="26"/>
      <c r="C6" s="25"/>
      <c r="D6" s="25"/>
      <c r="E6" s="25"/>
      <c r="F6" s="25"/>
    </row>
    <row r="7" spans="1:9" ht="3.75" customHeight="1" thickBot="1" x14ac:dyDescent="0.35">
      <c r="A7" s="28"/>
      <c r="B7" s="29"/>
      <c r="C7" s="28"/>
      <c r="D7" s="28"/>
      <c r="E7" s="28"/>
      <c r="F7" s="28"/>
    </row>
    <row r="8" spans="1:9" ht="15.75" x14ac:dyDescent="0.25">
      <c r="A8" s="25"/>
      <c r="B8" s="25"/>
      <c r="C8" s="25"/>
      <c r="D8" s="25"/>
      <c r="E8" s="25"/>
      <c r="F8" s="25"/>
    </row>
    <row r="9" spans="1:9" ht="18" customHeight="1" x14ac:dyDescent="0.25">
      <c r="A9" s="25"/>
      <c r="B9" s="48" t="s">
        <v>48</v>
      </c>
      <c r="C9" s="31"/>
      <c r="D9" s="25"/>
      <c r="E9" s="25"/>
      <c r="F9" s="25"/>
    </row>
    <row r="10" spans="1:9" ht="15.75" x14ac:dyDescent="0.25">
      <c r="A10" s="25"/>
      <c r="B10" s="25"/>
      <c r="C10" s="25"/>
      <c r="D10" s="25"/>
      <c r="E10" s="25"/>
      <c r="F10" s="25"/>
    </row>
    <row r="11" spans="1:9" ht="18.75" customHeight="1" x14ac:dyDescent="0.25">
      <c r="A11" s="25"/>
      <c r="B11" s="48" t="s">
        <v>49</v>
      </c>
      <c r="C11" s="31"/>
      <c r="D11" s="31"/>
      <c r="E11" s="31"/>
      <c r="F11" s="31"/>
      <c r="G11" s="31"/>
      <c r="H11" s="31"/>
      <c r="I11" s="31"/>
    </row>
    <row r="12" spans="1:9" ht="19.5" thickBot="1" x14ac:dyDescent="0.35">
      <c r="A12" s="28"/>
      <c r="B12" s="29"/>
      <c r="C12" s="28"/>
      <c r="D12" s="28"/>
      <c r="E12" s="28"/>
      <c r="F12" s="28"/>
    </row>
    <row r="13" spans="1:9" ht="15.75" x14ac:dyDescent="0.25">
      <c r="A13" s="25"/>
      <c r="B13" s="25"/>
      <c r="C13" s="25"/>
      <c r="D13" s="25"/>
      <c r="E13" s="25"/>
      <c r="F13" s="25"/>
    </row>
    <row r="14" spans="1:9" ht="15.75" x14ac:dyDescent="0.25">
      <c r="A14" s="25"/>
      <c r="B14" s="25"/>
      <c r="C14" s="25"/>
      <c r="D14" s="25"/>
      <c r="E14" s="25"/>
      <c r="F14" s="25"/>
    </row>
    <row r="15" spans="1:9" ht="15.75" x14ac:dyDescent="0.25">
      <c r="A15" s="25"/>
      <c r="B15" s="25"/>
      <c r="C15" s="25"/>
      <c r="D15" s="25"/>
      <c r="E15" s="25"/>
      <c r="F15" s="25"/>
    </row>
    <row r="16" spans="1:9" ht="15.75" x14ac:dyDescent="0.25">
      <c r="A16" s="25"/>
      <c r="B16" s="25"/>
      <c r="C16" s="25"/>
      <c r="D16" s="25"/>
      <c r="E16" s="25"/>
      <c r="F16" s="25"/>
    </row>
    <row r="17" spans="1:6" ht="15.75" x14ac:dyDescent="0.25">
      <c r="A17" s="25"/>
      <c r="B17" s="25"/>
      <c r="C17" s="25"/>
      <c r="D17" s="25"/>
      <c r="E17" s="25"/>
      <c r="F17" s="25"/>
    </row>
    <row r="18" spans="1:6" ht="15.75" x14ac:dyDescent="0.25">
      <c r="A18" s="25"/>
      <c r="B18" s="25"/>
      <c r="C18" s="25"/>
      <c r="D18" s="25"/>
      <c r="E18" s="25"/>
      <c r="F18" s="25"/>
    </row>
    <row r="19" spans="1:6" ht="15.75" x14ac:dyDescent="0.25">
      <c r="A19" s="25"/>
      <c r="B19" s="25"/>
      <c r="C19" s="25"/>
      <c r="D19" s="25"/>
      <c r="E19" s="25"/>
      <c r="F19" s="25"/>
    </row>
    <row r="20" spans="1:6" ht="15.75" x14ac:dyDescent="0.25">
      <c r="A20" s="25"/>
      <c r="B20" s="25"/>
      <c r="C20" s="25"/>
      <c r="D20" s="25"/>
      <c r="E20" s="25"/>
      <c r="F20" s="25"/>
    </row>
    <row r="21" spans="1:6" ht="15.75" x14ac:dyDescent="0.25">
      <c r="A21" s="25"/>
      <c r="B21" s="25"/>
      <c r="C21" s="25"/>
      <c r="D21" s="25"/>
      <c r="E21" s="25"/>
      <c r="F21" s="25"/>
    </row>
    <row r="22" spans="1:6" ht="15.75" x14ac:dyDescent="0.25">
      <c r="A22" s="25"/>
      <c r="B22" s="25"/>
      <c r="C22" s="25"/>
      <c r="D22" s="25"/>
      <c r="E22" s="25"/>
      <c r="F22" s="25"/>
    </row>
    <row r="23" spans="1:6" ht="15.75" x14ac:dyDescent="0.25">
      <c r="A23" s="25"/>
      <c r="B23" s="25"/>
      <c r="C23" s="25"/>
      <c r="D23" s="25"/>
      <c r="E23" s="25"/>
      <c r="F23" s="25"/>
    </row>
    <row r="24" spans="1:6" ht="15.75" x14ac:dyDescent="0.25">
      <c r="A24" s="25"/>
      <c r="B24" s="25"/>
      <c r="C24" s="25"/>
      <c r="D24" s="25"/>
      <c r="E24" s="25"/>
      <c r="F24" s="25"/>
    </row>
    <row r="25" spans="1:6" ht="15.75" x14ac:dyDescent="0.25">
      <c r="A25" s="25"/>
      <c r="B25" s="25"/>
      <c r="C25" s="25"/>
      <c r="D25" s="25"/>
      <c r="E25" s="25"/>
      <c r="F25" s="25"/>
    </row>
    <row r="26" spans="1:6" ht="15.75" x14ac:dyDescent="0.25">
      <c r="A26" s="25"/>
      <c r="B26" s="25"/>
      <c r="C26" s="25"/>
      <c r="D26" s="25"/>
      <c r="E26" s="25"/>
      <c r="F26" s="25"/>
    </row>
  </sheetData>
  <sheetProtection algorithmName="SHA-512" hashValue="mU5tE7HTULriCTU+YbQXSMN5YZSvp+Ak76rnEGg4lGSOW8qMS0mWLFjT3l+lVNwSKdvsroCbq6ikRDbyXiJWlg==" saltValue="u+wFkpSFHkLJFBdIUegvwQ==" spinCount="100000" sheet="1" objects="1" scenarios="1"/>
  <hyperlinks>
    <hyperlink ref="A6" location="Ajuda!B5" display="Clique aqui"/>
    <hyperlink ref="B9:C9" r:id="rId1" display="Siga-nos no Youtube"/>
    <hyperlink ref="B11:I11" r:id="rId2" display="Confira nosso Blog com muitos artigos grátis para você crescer sua empresa!"/>
  </hyperlinks>
  <pageMargins left="0.511811024" right="0.511811024" top="0.78740157499999996" bottom="0.78740157499999996" header="0.31496062000000002" footer="0.3149606200000000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AG496"/>
  <sheetViews>
    <sheetView showGridLines="0" showRowColHeaders="0" topLeftCell="A52" workbookViewId="0">
      <selection activeCell="A4" sqref="A4"/>
    </sheetView>
  </sheetViews>
  <sheetFormatPr defaultRowHeight="15" x14ac:dyDescent="0.25"/>
  <cols>
    <col min="1" max="1" width="21.5703125" customWidth="1"/>
    <col min="2" max="2" width="9.42578125" customWidth="1"/>
    <col min="3" max="3" width="12.28515625" customWidth="1"/>
    <col min="4" max="4" width="11.28515625" customWidth="1"/>
    <col min="5" max="5" width="10.42578125" customWidth="1"/>
    <col min="8" max="8" width="13.7109375" customWidth="1"/>
    <col min="11" max="11" width="4.42578125" customWidth="1"/>
    <col min="12" max="12" width="22.28515625" customWidth="1"/>
    <col min="14" max="14" width="11.7109375" customWidth="1"/>
    <col min="15" max="16" width="11.42578125" customWidth="1"/>
  </cols>
  <sheetData>
    <row r="1" spans="1:33" ht="27.75" customHeight="1" x14ac:dyDescent="0.3">
      <c r="A1" s="32"/>
      <c r="B1" s="33"/>
      <c r="C1" s="32"/>
      <c r="D1" s="32"/>
      <c r="E1" s="32"/>
      <c r="F1" s="32"/>
      <c r="G1" s="32"/>
      <c r="H1" s="32"/>
      <c r="I1" s="32"/>
      <c r="J1" s="2"/>
      <c r="K1" s="2"/>
      <c r="L1" s="2"/>
      <c r="M1" s="2"/>
      <c r="N1" s="2"/>
      <c r="O1" s="2"/>
      <c r="P1" s="2"/>
      <c r="Q1" s="2"/>
      <c r="R1" s="4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21.75" thickBot="1" x14ac:dyDescent="0.4">
      <c r="A2" s="65" t="s">
        <v>50</v>
      </c>
      <c r="B2" s="65"/>
      <c r="C2" s="65"/>
      <c r="D2" s="65"/>
      <c r="E2" s="32"/>
      <c r="F2" s="32"/>
      <c r="G2" s="32"/>
      <c r="H2" s="32"/>
      <c r="I2" s="32"/>
      <c r="J2" s="2"/>
      <c r="K2" s="2"/>
      <c r="L2" s="2"/>
      <c r="M2" s="2"/>
      <c r="N2" s="2"/>
      <c r="O2" s="2"/>
      <c r="P2" s="2"/>
      <c r="Q2" s="2"/>
      <c r="R2" s="4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15.75" x14ac:dyDescent="0.25">
      <c r="A3" s="32"/>
      <c r="B3" s="32"/>
      <c r="C3" s="32"/>
      <c r="D3" s="32"/>
      <c r="E3" s="32"/>
      <c r="F3" s="32"/>
      <c r="G3" s="32"/>
      <c r="H3" s="32"/>
      <c r="I3" s="32"/>
      <c r="J3" s="2"/>
      <c r="K3" s="2"/>
      <c r="L3" s="70" t="s">
        <v>43</v>
      </c>
      <c r="M3" s="71"/>
      <c r="N3" s="71"/>
      <c r="O3" s="71"/>
      <c r="P3" s="72"/>
      <c r="Q3" s="6"/>
      <c r="R3" s="7"/>
      <c r="S3" s="6"/>
      <c r="T3" s="6"/>
      <c r="U3" s="6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3" ht="27" thickBot="1" x14ac:dyDescent="0.45">
      <c r="A4" s="36" t="s">
        <v>26</v>
      </c>
      <c r="B4" s="35"/>
      <c r="C4" s="35"/>
      <c r="D4" s="32"/>
      <c r="E4" s="32"/>
      <c r="F4" s="32"/>
      <c r="G4" s="32"/>
      <c r="H4" s="32"/>
      <c r="I4" s="32"/>
      <c r="J4" s="2"/>
      <c r="K4" s="2"/>
      <c r="L4" s="75" t="s">
        <v>34</v>
      </c>
      <c r="M4" s="76"/>
      <c r="N4" s="76"/>
      <c r="O4" s="76"/>
      <c r="P4" s="77"/>
      <c r="Q4" s="6"/>
      <c r="R4" s="7"/>
      <c r="S4" s="6"/>
      <c r="T4" s="6"/>
      <c r="U4" s="6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3" ht="19.5" thickBot="1" x14ac:dyDescent="0.35">
      <c r="A5" s="85" t="s">
        <v>27</v>
      </c>
      <c r="B5" s="86"/>
      <c r="C5" s="86"/>
      <c r="D5" s="86"/>
      <c r="E5" s="87"/>
      <c r="F5" s="32"/>
      <c r="G5" s="32"/>
      <c r="H5" s="32"/>
      <c r="I5" s="32"/>
      <c r="J5" s="2"/>
      <c r="K5" s="2"/>
      <c r="L5" s="78"/>
      <c r="M5" s="79"/>
      <c r="N5" s="79"/>
      <c r="O5" s="79"/>
      <c r="P5" s="80"/>
      <c r="Q5" s="6"/>
      <c r="R5" s="7"/>
      <c r="S5" s="6"/>
      <c r="T5" s="6"/>
      <c r="U5" s="6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3" ht="15.75" x14ac:dyDescent="0.25">
      <c r="A6" s="45" t="s">
        <v>28</v>
      </c>
      <c r="B6" s="45" t="s">
        <v>6</v>
      </c>
      <c r="C6" s="46" t="s">
        <v>0</v>
      </c>
      <c r="D6" s="45" t="s">
        <v>1</v>
      </c>
      <c r="E6" s="45" t="s">
        <v>2</v>
      </c>
      <c r="F6" s="32"/>
      <c r="G6" s="32"/>
      <c r="H6" s="32"/>
      <c r="I6" s="32"/>
      <c r="J6" s="2"/>
      <c r="K6" s="2"/>
      <c r="L6" s="9" t="s">
        <v>28</v>
      </c>
      <c r="M6" s="10" t="s">
        <v>6</v>
      </c>
      <c r="N6" s="11" t="s">
        <v>0</v>
      </c>
      <c r="O6" s="10" t="s">
        <v>1</v>
      </c>
      <c r="P6" s="12" t="s">
        <v>2</v>
      </c>
      <c r="Q6" s="6"/>
      <c r="R6" s="7"/>
      <c r="S6" s="6"/>
      <c r="T6" s="6"/>
      <c r="U6" s="6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3" x14ac:dyDescent="0.25">
      <c r="A7" s="44" t="s">
        <v>27</v>
      </c>
      <c r="B7" s="44" t="s">
        <v>29</v>
      </c>
      <c r="C7" s="44">
        <v>1</v>
      </c>
      <c r="D7" s="44">
        <v>11.28</v>
      </c>
      <c r="E7" s="44">
        <f>C7*D7</f>
        <v>11.28</v>
      </c>
      <c r="F7" s="32"/>
      <c r="G7" s="32"/>
      <c r="H7" s="32"/>
      <c r="I7" s="32"/>
      <c r="J7" s="2"/>
      <c r="K7" s="2"/>
      <c r="L7" s="49" t="s">
        <v>35</v>
      </c>
      <c r="M7" s="50"/>
      <c r="N7" s="50">
        <v>0</v>
      </c>
      <c r="O7" s="50">
        <v>0</v>
      </c>
      <c r="P7" s="8">
        <f>N7*O7</f>
        <v>0</v>
      </c>
      <c r="Q7" s="6"/>
      <c r="R7" s="7"/>
      <c r="S7" s="6"/>
      <c r="T7" s="6"/>
      <c r="U7" s="6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3" x14ac:dyDescent="0.25">
      <c r="A8" s="44" t="s">
        <v>30</v>
      </c>
      <c r="B8" s="44" t="s">
        <v>31</v>
      </c>
      <c r="C8" s="44">
        <v>1</v>
      </c>
      <c r="D8" s="44">
        <v>0.12</v>
      </c>
      <c r="E8" s="44">
        <f>C8*D8</f>
        <v>0.12</v>
      </c>
      <c r="F8" s="32"/>
      <c r="G8" s="32"/>
      <c r="H8" s="32"/>
      <c r="I8" s="32"/>
      <c r="J8" s="2"/>
      <c r="K8" s="2"/>
      <c r="L8" s="49" t="s">
        <v>36</v>
      </c>
      <c r="M8" s="50"/>
      <c r="N8" s="50">
        <v>0</v>
      </c>
      <c r="O8" s="50">
        <v>0</v>
      </c>
      <c r="P8" s="8">
        <f>N8*O8</f>
        <v>0</v>
      </c>
      <c r="Q8" s="6"/>
      <c r="R8" s="7"/>
      <c r="S8" s="6"/>
      <c r="T8" s="6"/>
      <c r="U8" s="6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3" x14ac:dyDescent="0.25">
      <c r="A9" s="44" t="s">
        <v>32</v>
      </c>
      <c r="B9" s="44" t="s">
        <v>31</v>
      </c>
      <c r="C9" s="44">
        <v>1</v>
      </c>
      <c r="D9" s="44">
        <v>0.3</v>
      </c>
      <c r="E9" s="44">
        <f>C9*D9</f>
        <v>0.3</v>
      </c>
      <c r="F9" s="32"/>
      <c r="G9" s="32"/>
      <c r="H9" s="32"/>
      <c r="I9" s="32"/>
      <c r="J9" s="2"/>
      <c r="K9" s="2"/>
      <c r="L9" s="49" t="s">
        <v>37</v>
      </c>
      <c r="M9" s="50"/>
      <c r="N9" s="50">
        <v>0</v>
      </c>
      <c r="O9" s="50">
        <v>0</v>
      </c>
      <c r="P9" s="8">
        <f>N9*O9</f>
        <v>0</v>
      </c>
      <c r="Q9" s="6"/>
      <c r="R9" s="7"/>
      <c r="S9" s="6"/>
      <c r="T9" s="6"/>
      <c r="U9" s="6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3" x14ac:dyDescent="0.25">
      <c r="A10" s="43"/>
      <c r="B10" s="43"/>
      <c r="C10" s="40" t="s">
        <v>12</v>
      </c>
      <c r="D10" s="40"/>
      <c r="E10" s="42">
        <f>SUM(E7:E9)</f>
        <v>11.7</v>
      </c>
      <c r="F10" s="32"/>
      <c r="G10" s="32"/>
      <c r="H10" s="32"/>
      <c r="I10" s="32"/>
      <c r="J10" s="2"/>
      <c r="K10" s="2"/>
      <c r="L10" s="16"/>
      <c r="M10" s="17"/>
      <c r="N10" s="20" t="s">
        <v>12</v>
      </c>
      <c r="O10" s="13"/>
      <c r="P10" s="14">
        <f>SUM(P7:P9)</f>
        <v>0</v>
      </c>
      <c r="Q10" s="6"/>
      <c r="R10" s="7"/>
      <c r="S10" s="6"/>
      <c r="T10" s="6"/>
      <c r="U10" s="6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3" x14ac:dyDescent="0.25">
      <c r="A11" s="32"/>
      <c r="B11" s="32"/>
      <c r="C11" s="91" t="s">
        <v>14</v>
      </c>
      <c r="D11" s="91"/>
      <c r="E11" s="55">
        <v>1.2</v>
      </c>
      <c r="F11" s="32"/>
      <c r="G11" s="32"/>
      <c r="H11" s="32"/>
      <c r="I11" s="32"/>
      <c r="J11" s="2"/>
      <c r="K11" s="2"/>
      <c r="L11" s="16"/>
      <c r="M11" s="17"/>
      <c r="N11" s="81" t="s">
        <v>14</v>
      </c>
      <c r="O11" s="81"/>
      <c r="P11" s="52">
        <v>0</v>
      </c>
      <c r="Q11" s="6"/>
      <c r="R11" s="7"/>
      <c r="S11" s="6"/>
      <c r="T11" s="6"/>
      <c r="U11" s="6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3" x14ac:dyDescent="0.25">
      <c r="A12" s="32"/>
      <c r="B12" s="32"/>
      <c r="C12" s="92" t="s">
        <v>15</v>
      </c>
      <c r="D12" s="92"/>
      <c r="E12" s="56">
        <f>E10*E11+E10</f>
        <v>25.74</v>
      </c>
      <c r="F12" s="32"/>
      <c r="G12" s="32"/>
      <c r="H12" s="32"/>
      <c r="I12" s="32"/>
      <c r="J12" s="2"/>
      <c r="K12" s="2"/>
      <c r="L12" s="16"/>
      <c r="M12" s="17"/>
      <c r="N12" s="82" t="s">
        <v>15</v>
      </c>
      <c r="O12" s="82"/>
      <c r="P12" s="54">
        <f>P10*P11+P10</f>
        <v>0</v>
      </c>
      <c r="Q12" s="6"/>
      <c r="R12" s="7"/>
      <c r="S12" s="6"/>
      <c r="T12" s="6"/>
      <c r="U12" s="6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3" x14ac:dyDescent="0.25">
      <c r="A13" s="88" t="s">
        <v>16</v>
      </c>
      <c r="B13" s="88"/>
      <c r="C13" s="40" t="s">
        <v>17</v>
      </c>
      <c r="D13" s="41">
        <v>0.06</v>
      </c>
      <c r="E13" s="42">
        <f>E12*D13</f>
        <v>1.5443999999999998</v>
      </c>
      <c r="F13" s="32"/>
      <c r="G13" s="32"/>
      <c r="H13" s="32"/>
      <c r="I13" s="32"/>
      <c r="J13" s="2"/>
      <c r="K13" s="2"/>
      <c r="L13" s="66" t="s">
        <v>16</v>
      </c>
      <c r="M13" s="67"/>
      <c r="N13" s="20" t="s">
        <v>17</v>
      </c>
      <c r="O13" s="51">
        <v>0</v>
      </c>
      <c r="P13" s="14">
        <f>P12*O13</f>
        <v>0</v>
      </c>
      <c r="Q13" s="6"/>
      <c r="R13" s="7"/>
      <c r="S13" s="6"/>
      <c r="T13" s="6"/>
      <c r="U13" s="6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3" x14ac:dyDescent="0.25">
      <c r="A14" s="88"/>
      <c r="B14" s="88"/>
      <c r="C14" s="40" t="s">
        <v>18</v>
      </c>
      <c r="D14" s="41">
        <v>2.5000000000000001E-2</v>
      </c>
      <c r="E14" s="42">
        <f>E12*D14</f>
        <v>0.64349999999999996</v>
      </c>
      <c r="F14" s="32"/>
      <c r="G14" s="32"/>
      <c r="H14" s="32"/>
      <c r="I14" s="32"/>
      <c r="J14" s="2"/>
      <c r="K14" s="2"/>
      <c r="L14" s="66"/>
      <c r="M14" s="67"/>
      <c r="N14" s="20" t="s">
        <v>18</v>
      </c>
      <c r="O14" s="51">
        <v>0</v>
      </c>
      <c r="P14" s="14">
        <f>P12*O14</f>
        <v>0</v>
      </c>
      <c r="Q14" s="6"/>
      <c r="R14" s="7"/>
      <c r="S14" s="6"/>
      <c r="T14" s="6"/>
      <c r="U14" s="6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3" x14ac:dyDescent="0.25">
      <c r="A15" s="88"/>
      <c r="B15" s="88"/>
      <c r="C15" s="40" t="s">
        <v>19</v>
      </c>
      <c r="D15" s="41">
        <v>0.1</v>
      </c>
      <c r="E15" s="42">
        <f>E12*D15</f>
        <v>2.5739999999999998</v>
      </c>
      <c r="F15" s="32"/>
      <c r="G15" s="32"/>
      <c r="H15" s="32"/>
      <c r="I15" s="32"/>
      <c r="J15" s="2"/>
      <c r="K15" s="2"/>
      <c r="L15" s="66"/>
      <c r="M15" s="67"/>
      <c r="N15" s="20" t="s">
        <v>19</v>
      </c>
      <c r="O15" s="51">
        <v>0</v>
      </c>
      <c r="P15" s="14">
        <f>P12*O15</f>
        <v>0</v>
      </c>
      <c r="Q15" s="6"/>
      <c r="R15" s="7"/>
      <c r="S15" s="6"/>
      <c r="T15" s="6"/>
      <c r="U15" s="6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3" x14ac:dyDescent="0.25">
      <c r="A16" s="88"/>
      <c r="B16" s="88"/>
      <c r="C16" s="40" t="s">
        <v>33</v>
      </c>
      <c r="D16" s="41">
        <v>3.7999999999999999E-2</v>
      </c>
      <c r="E16" s="42">
        <f>D16*E12</f>
        <v>0.97811999999999988</v>
      </c>
      <c r="F16" s="32"/>
      <c r="G16" s="32"/>
      <c r="H16" s="32"/>
      <c r="I16" s="32"/>
      <c r="J16" s="2"/>
      <c r="K16" s="2"/>
      <c r="L16" s="66"/>
      <c r="M16" s="67"/>
      <c r="N16" s="20" t="s">
        <v>33</v>
      </c>
      <c r="O16" s="51">
        <v>0</v>
      </c>
      <c r="P16" s="14">
        <f>O16*P12</f>
        <v>0</v>
      </c>
      <c r="Q16" s="6"/>
      <c r="R16" s="7"/>
      <c r="S16" s="6"/>
      <c r="T16" s="6"/>
      <c r="U16" s="6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x14ac:dyDescent="0.25">
      <c r="A17" s="90" t="s">
        <v>21</v>
      </c>
      <c r="B17" s="90"/>
      <c r="C17" s="61" t="s">
        <v>23</v>
      </c>
      <c r="D17" s="62">
        <v>0.05</v>
      </c>
      <c r="E17" s="63">
        <f>D17*E12</f>
        <v>1.2869999999999999</v>
      </c>
      <c r="F17" s="32"/>
      <c r="G17" s="32"/>
      <c r="H17" s="32"/>
      <c r="I17" s="32"/>
      <c r="J17" s="2"/>
      <c r="K17" s="2"/>
      <c r="L17" s="73" t="s">
        <v>21</v>
      </c>
      <c r="M17" s="74"/>
      <c r="N17" s="60" t="s">
        <v>23</v>
      </c>
      <c r="O17" s="51">
        <v>0</v>
      </c>
      <c r="P17" s="64">
        <f>O17*P12</f>
        <v>0</v>
      </c>
      <c r="Q17" s="6"/>
      <c r="R17" s="7"/>
      <c r="S17" s="6"/>
      <c r="T17" s="6"/>
      <c r="U17" s="6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x14ac:dyDescent="0.25">
      <c r="A18" s="89" t="s">
        <v>42</v>
      </c>
      <c r="B18" s="89"/>
      <c r="C18" s="57"/>
      <c r="D18" s="57"/>
      <c r="E18" s="58">
        <f>SUM(E10,E13:E17)</f>
        <v>18.72702</v>
      </c>
      <c r="F18" s="32"/>
      <c r="G18" s="32"/>
      <c r="H18" s="32"/>
      <c r="I18" s="32"/>
      <c r="J18" s="2"/>
      <c r="K18" s="2"/>
      <c r="L18" s="68" t="s">
        <v>42</v>
      </c>
      <c r="M18" s="69"/>
      <c r="N18" s="1"/>
      <c r="O18" s="1"/>
      <c r="P18" s="15">
        <f>SUM(P10,P13:P17)</f>
        <v>0</v>
      </c>
      <c r="Q18" s="6"/>
      <c r="R18" s="7"/>
      <c r="S18" s="6"/>
      <c r="T18" s="6"/>
      <c r="U18" s="6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x14ac:dyDescent="0.25">
      <c r="A19" s="32"/>
      <c r="B19" s="32"/>
      <c r="C19" s="43"/>
      <c r="D19" s="57" t="s">
        <v>25</v>
      </c>
      <c r="E19" s="58">
        <f>E12-E18</f>
        <v>7.0129799999999989</v>
      </c>
      <c r="F19" s="32"/>
      <c r="G19" s="32"/>
      <c r="H19" s="32"/>
      <c r="I19" s="32"/>
      <c r="J19" s="2"/>
      <c r="K19" s="2"/>
      <c r="L19" s="16"/>
      <c r="M19" s="17"/>
      <c r="N19" s="17"/>
      <c r="O19" s="21" t="s">
        <v>25</v>
      </c>
      <c r="P19" s="22">
        <f>P12-P18</f>
        <v>0</v>
      </c>
      <c r="Q19" s="6"/>
      <c r="R19" s="7"/>
      <c r="S19" s="6"/>
      <c r="T19" s="6"/>
      <c r="U19" s="6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5.75" thickBot="1" x14ac:dyDescent="0.3">
      <c r="A20" s="32"/>
      <c r="B20" s="32"/>
      <c r="C20" s="43"/>
      <c r="D20" s="57" t="s">
        <v>24</v>
      </c>
      <c r="E20" s="59">
        <f>E19/E12</f>
        <v>0.27245454545454545</v>
      </c>
      <c r="F20" s="32"/>
      <c r="G20" s="32"/>
      <c r="H20" s="32"/>
      <c r="I20" s="32"/>
      <c r="J20" s="2"/>
      <c r="K20" s="2"/>
      <c r="L20" s="18"/>
      <c r="M20" s="19"/>
      <c r="N20" s="19"/>
      <c r="O20" s="23" t="s">
        <v>24</v>
      </c>
      <c r="P20" s="24" t="e">
        <f>P19/P12</f>
        <v>#DIV/0!</v>
      </c>
      <c r="Q20" s="6"/>
      <c r="R20" s="7"/>
      <c r="S20" s="6"/>
      <c r="T20" s="6"/>
      <c r="U20" s="6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x14ac:dyDescent="0.25">
      <c r="A21" s="32"/>
      <c r="B21" s="32"/>
      <c r="C21" s="32"/>
      <c r="D21" s="32"/>
      <c r="E21" s="32"/>
      <c r="F21" s="32"/>
      <c r="G21" s="32"/>
      <c r="H21" s="32"/>
      <c r="I21" s="32"/>
      <c r="J21" s="2"/>
      <c r="K21" s="2"/>
      <c r="L21" s="2" t="s">
        <v>44</v>
      </c>
      <c r="M21" s="2"/>
      <c r="N21" s="2"/>
      <c r="O21" s="6"/>
      <c r="P21" s="6"/>
      <c r="Q21" s="6"/>
      <c r="R21" s="7"/>
      <c r="S21" s="6"/>
      <c r="T21" s="6"/>
      <c r="U21" s="6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44.25" customHeight="1" x14ac:dyDescent="0.25">
      <c r="A22" s="32"/>
      <c r="B22" s="32"/>
      <c r="C22" s="32"/>
      <c r="D22" s="32"/>
      <c r="E22" s="32"/>
      <c r="F22" s="32"/>
      <c r="G22" s="32"/>
      <c r="H22" s="32"/>
      <c r="I22" s="32"/>
      <c r="J22" s="2"/>
      <c r="K22" s="2"/>
      <c r="L22" s="2"/>
      <c r="M22" s="2"/>
      <c r="N22" s="2"/>
      <c r="O22" s="6"/>
      <c r="P22" s="6"/>
      <c r="Q22" s="6"/>
      <c r="R22" s="7"/>
      <c r="S22" s="6"/>
      <c r="T22" s="6"/>
      <c r="U22" s="6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4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4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4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5.75" x14ac:dyDescent="0.25">
      <c r="A28" s="70" t="s">
        <v>43</v>
      </c>
      <c r="B28" s="71"/>
      <c r="C28" s="71"/>
      <c r="D28" s="71"/>
      <c r="E28" s="72"/>
      <c r="F28" s="2"/>
      <c r="G28" s="2"/>
      <c r="H28" s="2"/>
      <c r="I28" s="2"/>
      <c r="J28" s="2"/>
      <c r="K28" s="2"/>
      <c r="L28" s="70" t="s">
        <v>43</v>
      </c>
      <c r="M28" s="71"/>
      <c r="N28" s="71"/>
      <c r="O28" s="71"/>
      <c r="P28" s="72"/>
      <c r="Q28" s="2"/>
      <c r="R28" s="4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26.25" customHeight="1" x14ac:dyDescent="0.25">
      <c r="A29" s="75" t="s">
        <v>38</v>
      </c>
      <c r="B29" s="76"/>
      <c r="C29" s="76"/>
      <c r="D29" s="76"/>
      <c r="E29" s="77"/>
      <c r="F29" s="2"/>
      <c r="G29" s="2"/>
      <c r="H29" s="2"/>
      <c r="I29" s="2"/>
      <c r="J29" s="2"/>
      <c r="K29" s="2"/>
      <c r="L29" s="75" t="s">
        <v>39</v>
      </c>
      <c r="M29" s="76"/>
      <c r="N29" s="76"/>
      <c r="O29" s="76"/>
      <c r="P29" s="77"/>
      <c r="Q29" s="2"/>
      <c r="R29" s="4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8.75" customHeight="1" x14ac:dyDescent="0.25">
      <c r="A30" s="78"/>
      <c r="B30" s="79"/>
      <c r="C30" s="79"/>
      <c r="D30" s="79"/>
      <c r="E30" s="80"/>
      <c r="F30" s="2"/>
      <c r="G30" s="2"/>
      <c r="H30" s="2"/>
      <c r="I30" s="2"/>
      <c r="J30" s="2"/>
      <c r="K30" s="2"/>
      <c r="L30" s="78"/>
      <c r="M30" s="79"/>
      <c r="N30" s="79"/>
      <c r="O30" s="79"/>
      <c r="P30" s="80"/>
      <c r="Q30" s="2"/>
      <c r="R30" s="4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5.75" x14ac:dyDescent="0.25">
      <c r="A31" s="9" t="s">
        <v>28</v>
      </c>
      <c r="B31" s="10" t="s">
        <v>6</v>
      </c>
      <c r="C31" s="11" t="s">
        <v>0</v>
      </c>
      <c r="D31" s="10" t="s">
        <v>1</v>
      </c>
      <c r="E31" s="12" t="s">
        <v>2</v>
      </c>
      <c r="F31" s="2"/>
      <c r="G31" s="2"/>
      <c r="H31" s="2"/>
      <c r="I31" s="2"/>
      <c r="J31" s="2"/>
      <c r="K31" s="2"/>
      <c r="L31" s="9" t="s">
        <v>28</v>
      </c>
      <c r="M31" s="10" t="s">
        <v>6</v>
      </c>
      <c r="N31" s="11" t="s">
        <v>0</v>
      </c>
      <c r="O31" s="10" t="s">
        <v>1</v>
      </c>
      <c r="P31" s="12" t="s">
        <v>2</v>
      </c>
      <c r="Q31" s="2"/>
      <c r="R31" s="4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5">
      <c r="A32" s="49" t="s">
        <v>35</v>
      </c>
      <c r="B32" s="50"/>
      <c r="C32" s="50">
        <v>0</v>
      </c>
      <c r="D32" s="50">
        <v>0</v>
      </c>
      <c r="E32" s="8">
        <f>C32*D32</f>
        <v>0</v>
      </c>
      <c r="F32" s="2"/>
      <c r="G32" s="2"/>
      <c r="H32" s="2"/>
      <c r="I32" s="2"/>
      <c r="J32" s="2"/>
      <c r="K32" s="2"/>
      <c r="L32" s="49" t="s">
        <v>35</v>
      </c>
      <c r="M32" s="50"/>
      <c r="N32" s="50">
        <v>0</v>
      </c>
      <c r="O32" s="50">
        <v>0</v>
      </c>
      <c r="P32" s="8">
        <f>N32*O32</f>
        <v>0</v>
      </c>
      <c r="Q32" s="2"/>
      <c r="R32" s="4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49" t="s">
        <v>36</v>
      </c>
      <c r="B33" s="50"/>
      <c r="C33" s="50">
        <v>0</v>
      </c>
      <c r="D33" s="50">
        <v>0</v>
      </c>
      <c r="E33" s="8">
        <f>C33*D33</f>
        <v>0</v>
      </c>
      <c r="F33" s="2"/>
      <c r="G33" s="2"/>
      <c r="H33" s="2"/>
      <c r="I33" s="2"/>
      <c r="J33" s="2"/>
      <c r="K33" s="2"/>
      <c r="L33" s="49" t="s">
        <v>36</v>
      </c>
      <c r="M33" s="50"/>
      <c r="N33" s="50">
        <v>0</v>
      </c>
      <c r="O33" s="50">
        <v>0</v>
      </c>
      <c r="P33" s="8">
        <f>N33*O33</f>
        <v>0</v>
      </c>
      <c r="Q33" s="2"/>
      <c r="R33" s="4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49" t="s">
        <v>37</v>
      </c>
      <c r="B34" s="50"/>
      <c r="C34" s="50">
        <v>0</v>
      </c>
      <c r="D34" s="50">
        <v>0</v>
      </c>
      <c r="E34" s="8">
        <f>C34*D34</f>
        <v>0</v>
      </c>
      <c r="F34" s="2"/>
      <c r="G34" s="2"/>
      <c r="H34" s="2"/>
      <c r="I34" s="2"/>
      <c r="J34" s="2"/>
      <c r="K34" s="2"/>
      <c r="L34" s="49" t="s">
        <v>37</v>
      </c>
      <c r="M34" s="50"/>
      <c r="N34" s="50">
        <v>0</v>
      </c>
      <c r="O34" s="50">
        <v>0</v>
      </c>
      <c r="P34" s="8">
        <f>N34*O34</f>
        <v>0</v>
      </c>
      <c r="Q34" s="2"/>
      <c r="R34" s="4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16"/>
      <c r="B35" s="17"/>
      <c r="C35" s="20" t="s">
        <v>12</v>
      </c>
      <c r="D35" s="13"/>
      <c r="E35" s="14">
        <f>SUM(E32:E34)</f>
        <v>0</v>
      </c>
      <c r="F35" s="2"/>
      <c r="G35" s="2"/>
      <c r="H35" s="2"/>
      <c r="I35" s="2"/>
      <c r="J35" s="2"/>
      <c r="K35" s="2"/>
      <c r="L35" s="16"/>
      <c r="M35" s="17"/>
      <c r="N35" s="20" t="s">
        <v>12</v>
      </c>
      <c r="O35" s="13"/>
      <c r="P35" s="14">
        <f>SUM(P32:P34)</f>
        <v>0</v>
      </c>
      <c r="Q35" s="2"/>
      <c r="R35" s="4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x14ac:dyDescent="0.25">
      <c r="A36" s="16"/>
      <c r="B36" s="17"/>
      <c r="C36" s="81" t="s">
        <v>14</v>
      </c>
      <c r="D36" s="81"/>
      <c r="E36" s="52">
        <v>1.2</v>
      </c>
      <c r="F36" s="2"/>
      <c r="G36" s="2"/>
      <c r="H36" s="2"/>
      <c r="I36" s="2"/>
      <c r="J36" s="2"/>
      <c r="K36" s="2"/>
      <c r="L36" s="16"/>
      <c r="M36" s="17"/>
      <c r="N36" s="81" t="s">
        <v>14</v>
      </c>
      <c r="O36" s="81"/>
      <c r="P36" s="52">
        <v>0</v>
      </c>
      <c r="Q36" s="2"/>
      <c r="R36" s="4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5">
      <c r="A37" s="16"/>
      <c r="B37" s="17"/>
      <c r="C37" s="82" t="s">
        <v>15</v>
      </c>
      <c r="D37" s="82"/>
      <c r="E37" s="54">
        <f>E35*E36+E35</f>
        <v>0</v>
      </c>
      <c r="F37" s="2"/>
      <c r="G37" s="2"/>
      <c r="H37" s="2"/>
      <c r="I37" s="2"/>
      <c r="J37" s="2"/>
      <c r="K37" s="2"/>
      <c r="L37" s="16"/>
      <c r="M37" s="17"/>
      <c r="N37" s="82" t="s">
        <v>15</v>
      </c>
      <c r="O37" s="82"/>
      <c r="P37" s="54">
        <f>P35*P36+P35</f>
        <v>0</v>
      </c>
      <c r="Q37" s="2"/>
      <c r="R37" s="4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x14ac:dyDescent="0.25">
      <c r="A38" s="66" t="s">
        <v>16</v>
      </c>
      <c r="B38" s="67"/>
      <c r="C38" s="20" t="s">
        <v>17</v>
      </c>
      <c r="D38" s="51">
        <v>0.06</v>
      </c>
      <c r="E38" s="14">
        <f>E37*D38</f>
        <v>0</v>
      </c>
      <c r="F38" s="2"/>
      <c r="G38" s="2"/>
      <c r="H38" s="2"/>
      <c r="I38" s="2"/>
      <c r="J38" s="2"/>
      <c r="K38" s="2"/>
      <c r="L38" s="66" t="s">
        <v>16</v>
      </c>
      <c r="M38" s="67"/>
      <c r="N38" s="20" t="s">
        <v>17</v>
      </c>
      <c r="O38" s="51">
        <v>0</v>
      </c>
      <c r="P38" s="14">
        <f>P37*O38</f>
        <v>0</v>
      </c>
      <c r="Q38" s="2"/>
      <c r="R38" s="4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x14ac:dyDescent="0.25">
      <c r="A39" s="66"/>
      <c r="B39" s="67"/>
      <c r="C39" s="20" t="s">
        <v>18</v>
      </c>
      <c r="D39" s="51">
        <v>2.5000000000000001E-2</v>
      </c>
      <c r="E39" s="14">
        <f>E37*D39</f>
        <v>0</v>
      </c>
      <c r="F39" s="2"/>
      <c r="G39" s="2"/>
      <c r="H39" s="2"/>
      <c r="I39" s="2"/>
      <c r="J39" s="2"/>
      <c r="K39" s="2"/>
      <c r="L39" s="66"/>
      <c r="M39" s="67"/>
      <c r="N39" s="20" t="s">
        <v>18</v>
      </c>
      <c r="O39" s="51">
        <v>0</v>
      </c>
      <c r="P39" s="14">
        <f>P37*O39</f>
        <v>0</v>
      </c>
      <c r="Q39" s="2"/>
      <c r="R39" s="4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x14ac:dyDescent="0.25">
      <c r="A40" s="66"/>
      <c r="B40" s="67"/>
      <c r="C40" s="20" t="s">
        <v>19</v>
      </c>
      <c r="D40" s="51">
        <v>0.1</v>
      </c>
      <c r="E40" s="14">
        <f>E37*D40</f>
        <v>0</v>
      </c>
      <c r="F40" s="2"/>
      <c r="G40" s="2"/>
      <c r="H40" s="2"/>
      <c r="I40" s="2"/>
      <c r="J40" s="2"/>
      <c r="K40" s="2"/>
      <c r="L40" s="66"/>
      <c r="M40" s="67"/>
      <c r="N40" s="20" t="s">
        <v>19</v>
      </c>
      <c r="O40" s="51">
        <v>0</v>
      </c>
      <c r="P40" s="14">
        <f>P37*O40</f>
        <v>0</v>
      </c>
      <c r="Q40" s="2"/>
      <c r="R40" s="4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x14ac:dyDescent="0.25">
      <c r="A41" s="66"/>
      <c r="B41" s="67"/>
      <c r="C41" s="20" t="s">
        <v>33</v>
      </c>
      <c r="D41" s="51">
        <v>3.7999999999999999E-2</v>
      </c>
      <c r="E41" s="14">
        <f>D41*E37</f>
        <v>0</v>
      </c>
      <c r="F41" s="2"/>
      <c r="G41" s="2"/>
      <c r="H41" s="2"/>
      <c r="I41" s="2"/>
      <c r="J41" s="2"/>
      <c r="K41" s="2"/>
      <c r="L41" s="66"/>
      <c r="M41" s="67"/>
      <c r="N41" s="20" t="s">
        <v>33</v>
      </c>
      <c r="O41" s="51">
        <v>0</v>
      </c>
      <c r="P41" s="14">
        <f>O41*P37</f>
        <v>0</v>
      </c>
      <c r="Q41" s="2"/>
      <c r="R41" s="4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x14ac:dyDescent="0.25">
      <c r="A42" s="83" t="s">
        <v>21</v>
      </c>
      <c r="B42" s="84"/>
      <c r="C42" s="53" t="s">
        <v>23</v>
      </c>
      <c r="D42" s="51">
        <v>0.1</v>
      </c>
      <c r="E42" s="14">
        <f>D42*E37</f>
        <v>0</v>
      </c>
      <c r="F42" s="2"/>
      <c r="G42" s="2"/>
      <c r="H42" s="2"/>
      <c r="I42" s="2"/>
      <c r="J42" s="2"/>
      <c r="K42" s="2"/>
      <c r="L42" s="73" t="s">
        <v>21</v>
      </c>
      <c r="M42" s="74"/>
      <c r="N42" s="60" t="s">
        <v>23</v>
      </c>
      <c r="O42" s="51">
        <v>0</v>
      </c>
      <c r="P42" s="14">
        <f>O42*P37</f>
        <v>0</v>
      </c>
      <c r="Q42" s="2"/>
      <c r="R42" s="4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x14ac:dyDescent="0.25">
      <c r="A43" s="68" t="s">
        <v>42</v>
      </c>
      <c r="B43" s="69"/>
      <c r="C43" s="1"/>
      <c r="D43" s="1"/>
      <c r="E43" s="15">
        <f>SUM(E35,E38:E42)</f>
        <v>0</v>
      </c>
      <c r="F43" s="2"/>
      <c r="G43" s="2"/>
      <c r="H43" s="2"/>
      <c r="I43" s="2"/>
      <c r="J43" s="2"/>
      <c r="K43" s="2"/>
      <c r="L43" s="68" t="s">
        <v>42</v>
      </c>
      <c r="M43" s="69"/>
      <c r="N43" s="1"/>
      <c r="O43" s="1"/>
      <c r="P43" s="15">
        <f>SUM(P35,P38:P42)</f>
        <v>0</v>
      </c>
      <c r="Q43" s="2"/>
      <c r="R43" s="4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x14ac:dyDescent="0.25">
      <c r="A44" s="16"/>
      <c r="B44" s="17"/>
      <c r="C44" s="17"/>
      <c r="D44" s="21" t="s">
        <v>25</v>
      </c>
      <c r="E44" s="22">
        <f>E37-E43</f>
        <v>0</v>
      </c>
      <c r="F44" s="2"/>
      <c r="G44" s="2"/>
      <c r="H44" s="2"/>
      <c r="I44" s="2"/>
      <c r="J44" s="2"/>
      <c r="K44" s="2"/>
      <c r="L44" s="16"/>
      <c r="M44" s="17"/>
      <c r="N44" s="17"/>
      <c r="O44" s="21" t="s">
        <v>25</v>
      </c>
      <c r="P44" s="22">
        <f>P37-P43</f>
        <v>0</v>
      </c>
      <c r="Q44" s="2"/>
      <c r="R44" s="4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5.75" thickBot="1" x14ac:dyDescent="0.3">
      <c r="A45" s="18"/>
      <c r="B45" s="19"/>
      <c r="C45" s="19"/>
      <c r="D45" s="23" t="s">
        <v>24</v>
      </c>
      <c r="E45" s="24" t="e">
        <f>E44/E37</f>
        <v>#DIV/0!</v>
      </c>
      <c r="F45" s="2"/>
      <c r="G45" s="2"/>
      <c r="H45" s="2"/>
      <c r="I45" s="2"/>
      <c r="J45" s="2"/>
      <c r="K45" s="2"/>
      <c r="L45" s="18"/>
      <c r="M45" s="19"/>
      <c r="N45" s="19"/>
      <c r="O45" s="23" t="s">
        <v>24</v>
      </c>
      <c r="P45" s="24" t="e">
        <f>P44/P37</f>
        <v>#DIV/0!</v>
      </c>
      <c r="Q45" s="2"/>
      <c r="R45" s="4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4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4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4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4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4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5.7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4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5.75" x14ac:dyDescent="0.25">
      <c r="A52" s="70" t="s">
        <v>43</v>
      </c>
      <c r="B52" s="71"/>
      <c r="C52" s="71"/>
      <c r="D52" s="71"/>
      <c r="E52" s="72"/>
      <c r="F52" s="2"/>
      <c r="G52" s="2"/>
      <c r="H52" s="2"/>
      <c r="I52" s="2"/>
      <c r="J52" s="2"/>
      <c r="K52" s="2"/>
      <c r="L52" s="70" t="s">
        <v>43</v>
      </c>
      <c r="M52" s="71"/>
      <c r="N52" s="71"/>
      <c r="O52" s="71"/>
      <c r="P52" s="72"/>
      <c r="Q52" s="2"/>
      <c r="R52" s="4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26.25" customHeight="1" x14ac:dyDescent="0.25">
      <c r="A53" s="75" t="s">
        <v>40</v>
      </c>
      <c r="B53" s="76"/>
      <c r="C53" s="76"/>
      <c r="D53" s="76"/>
      <c r="E53" s="77"/>
      <c r="F53" s="2"/>
      <c r="G53" s="2"/>
      <c r="H53" s="2"/>
      <c r="I53" s="2"/>
      <c r="J53" s="2"/>
      <c r="K53" s="2"/>
      <c r="L53" s="75" t="s">
        <v>41</v>
      </c>
      <c r="M53" s="76"/>
      <c r="N53" s="76"/>
      <c r="O53" s="76"/>
      <c r="P53" s="77"/>
      <c r="Q53" s="2"/>
      <c r="R53" s="4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8.75" customHeight="1" x14ac:dyDescent="0.25">
      <c r="A54" s="78"/>
      <c r="B54" s="79"/>
      <c r="C54" s="79"/>
      <c r="D54" s="79"/>
      <c r="E54" s="80"/>
      <c r="F54" s="2"/>
      <c r="G54" s="2"/>
      <c r="H54" s="2"/>
      <c r="I54" s="2"/>
      <c r="J54" s="2"/>
      <c r="K54" s="2"/>
      <c r="L54" s="78"/>
      <c r="M54" s="79"/>
      <c r="N54" s="79"/>
      <c r="O54" s="79"/>
      <c r="P54" s="80"/>
      <c r="Q54" s="2"/>
      <c r="R54" s="4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5.75" x14ac:dyDescent="0.25">
      <c r="A55" s="9" t="s">
        <v>28</v>
      </c>
      <c r="B55" s="10" t="s">
        <v>6</v>
      </c>
      <c r="C55" s="11" t="s">
        <v>0</v>
      </c>
      <c r="D55" s="10" t="s">
        <v>1</v>
      </c>
      <c r="E55" s="12" t="s">
        <v>2</v>
      </c>
      <c r="F55" s="2"/>
      <c r="G55" s="2"/>
      <c r="H55" s="2"/>
      <c r="I55" s="2"/>
      <c r="J55" s="2"/>
      <c r="K55" s="2"/>
      <c r="L55" s="9" t="s">
        <v>28</v>
      </c>
      <c r="M55" s="10" t="s">
        <v>6</v>
      </c>
      <c r="N55" s="11" t="s">
        <v>0</v>
      </c>
      <c r="O55" s="10" t="s">
        <v>1</v>
      </c>
      <c r="P55" s="12" t="s">
        <v>2</v>
      </c>
      <c r="Q55" s="2"/>
      <c r="R55" s="4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x14ac:dyDescent="0.25">
      <c r="A56" s="49" t="s">
        <v>35</v>
      </c>
      <c r="B56" s="50"/>
      <c r="C56" s="50">
        <v>0</v>
      </c>
      <c r="D56" s="50">
        <v>0</v>
      </c>
      <c r="E56" s="8">
        <f>C56*D56</f>
        <v>0</v>
      </c>
      <c r="F56" s="2"/>
      <c r="G56" s="2"/>
      <c r="H56" s="2"/>
      <c r="I56" s="2"/>
      <c r="J56" s="2"/>
      <c r="K56" s="2"/>
      <c r="L56" s="49" t="s">
        <v>35</v>
      </c>
      <c r="M56" s="50"/>
      <c r="N56" s="50">
        <v>0</v>
      </c>
      <c r="O56" s="50">
        <v>0</v>
      </c>
      <c r="P56" s="8">
        <f>N56*O56</f>
        <v>0</v>
      </c>
      <c r="Q56" s="2"/>
      <c r="R56" s="4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x14ac:dyDescent="0.25">
      <c r="A57" s="49" t="s">
        <v>36</v>
      </c>
      <c r="B57" s="50"/>
      <c r="C57" s="50">
        <v>0</v>
      </c>
      <c r="D57" s="50">
        <v>0</v>
      </c>
      <c r="E57" s="8">
        <f>C57*D57</f>
        <v>0</v>
      </c>
      <c r="F57" s="2"/>
      <c r="G57" s="2"/>
      <c r="H57" s="2"/>
      <c r="I57" s="2"/>
      <c r="J57" s="2"/>
      <c r="K57" s="2"/>
      <c r="L57" s="49" t="s">
        <v>36</v>
      </c>
      <c r="M57" s="50"/>
      <c r="N57" s="50">
        <v>0</v>
      </c>
      <c r="O57" s="50">
        <v>0</v>
      </c>
      <c r="P57" s="8">
        <f>N57*O57</f>
        <v>0</v>
      </c>
      <c r="Q57" s="2"/>
      <c r="R57" s="4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x14ac:dyDescent="0.25">
      <c r="A58" s="49" t="s">
        <v>37</v>
      </c>
      <c r="B58" s="50"/>
      <c r="C58" s="50">
        <v>0</v>
      </c>
      <c r="D58" s="50">
        <v>0</v>
      </c>
      <c r="E58" s="8">
        <f>C58*D58</f>
        <v>0</v>
      </c>
      <c r="F58" s="2"/>
      <c r="G58" s="2"/>
      <c r="H58" s="2"/>
      <c r="I58" s="2"/>
      <c r="J58" s="2"/>
      <c r="K58" s="2"/>
      <c r="L58" s="49" t="s">
        <v>37</v>
      </c>
      <c r="M58" s="50"/>
      <c r="N58" s="50">
        <v>0</v>
      </c>
      <c r="O58" s="50">
        <v>0</v>
      </c>
      <c r="P58" s="8">
        <f>N58*O58</f>
        <v>0</v>
      </c>
      <c r="Q58" s="2"/>
      <c r="R58" s="4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x14ac:dyDescent="0.25">
      <c r="A59" s="16"/>
      <c r="B59" s="17"/>
      <c r="C59" s="20" t="s">
        <v>12</v>
      </c>
      <c r="D59" s="13"/>
      <c r="E59" s="14">
        <f>SUM(E56:E58)</f>
        <v>0</v>
      </c>
      <c r="F59" s="2"/>
      <c r="G59" s="2"/>
      <c r="H59" s="2"/>
      <c r="I59" s="2"/>
      <c r="J59" s="2"/>
      <c r="K59" s="2"/>
      <c r="L59" s="16"/>
      <c r="M59" s="17"/>
      <c r="N59" s="20" t="s">
        <v>12</v>
      </c>
      <c r="O59" s="13"/>
      <c r="P59" s="14">
        <f>SUM(P56:P58)</f>
        <v>0</v>
      </c>
      <c r="Q59" s="2"/>
      <c r="R59" s="4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x14ac:dyDescent="0.25">
      <c r="A60" s="16"/>
      <c r="B60" s="17"/>
      <c r="C60" s="81" t="s">
        <v>14</v>
      </c>
      <c r="D60" s="81"/>
      <c r="E60" s="52">
        <v>0</v>
      </c>
      <c r="F60" s="2"/>
      <c r="G60" s="2"/>
      <c r="H60" s="2"/>
      <c r="I60" s="2"/>
      <c r="J60" s="2"/>
      <c r="K60" s="2"/>
      <c r="L60" s="16"/>
      <c r="M60" s="17"/>
      <c r="N60" s="81" t="s">
        <v>14</v>
      </c>
      <c r="O60" s="81"/>
      <c r="P60" s="52">
        <v>0</v>
      </c>
      <c r="Q60" s="2"/>
      <c r="R60" s="4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x14ac:dyDescent="0.25">
      <c r="A61" s="16"/>
      <c r="B61" s="17"/>
      <c r="C61" s="82" t="s">
        <v>15</v>
      </c>
      <c r="D61" s="82"/>
      <c r="E61" s="54">
        <f>E59*E60+E59</f>
        <v>0</v>
      </c>
      <c r="F61" s="2"/>
      <c r="G61" s="2"/>
      <c r="H61" s="2"/>
      <c r="I61" s="2"/>
      <c r="J61" s="2"/>
      <c r="K61" s="2"/>
      <c r="L61" s="16"/>
      <c r="M61" s="17"/>
      <c r="N61" s="82" t="s">
        <v>15</v>
      </c>
      <c r="O61" s="82"/>
      <c r="P61" s="54">
        <f>P59*P60+P59</f>
        <v>0</v>
      </c>
      <c r="Q61" s="2"/>
      <c r="R61" s="4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x14ac:dyDescent="0.25">
      <c r="A62" s="66" t="s">
        <v>16</v>
      </c>
      <c r="B62" s="67"/>
      <c r="C62" s="20" t="s">
        <v>17</v>
      </c>
      <c r="D62" s="51">
        <v>0</v>
      </c>
      <c r="E62" s="14">
        <f>E61*D62</f>
        <v>0</v>
      </c>
      <c r="F62" s="2"/>
      <c r="G62" s="2"/>
      <c r="H62" s="2"/>
      <c r="I62" s="2"/>
      <c r="J62" s="2"/>
      <c r="K62" s="2"/>
      <c r="L62" s="66" t="s">
        <v>16</v>
      </c>
      <c r="M62" s="67"/>
      <c r="N62" s="20" t="s">
        <v>17</v>
      </c>
      <c r="O62" s="51">
        <v>0</v>
      </c>
      <c r="P62" s="14">
        <f>P61*O62</f>
        <v>0</v>
      </c>
      <c r="Q62" s="2"/>
      <c r="R62" s="4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x14ac:dyDescent="0.25">
      <c r="A63" s="66"/>
      <c r="B63" s="67"/>
      <c r="C63" s="20" t="s">
        <v>18</v>
      </c>
      <c r="D63" s="51">
        <v>0</v>
      </c>
      <c r="E63" s="14">
        <f>E61*D63</f>
        <v>0</v>
      </c>
      <c r="F63" s="2"/>
      <c r="G63" s="2"/>
      <c r="H63" s="2"/>
      <c r="I63" s="2"/>
      <c r="J63" s="2"/>
      <c r="K63" s="2"/>
      <c r="L63" s="66"/>
      <c r="M63" s="67"/>
      <c r="N63" s="20" t="s">
        <v>18</v>
      </c>
      <c r="O63" s="51">
        <v>0</v>
      </c>
      <c r="P63" s="14">
        <f>P61*O63</f>
        <v>0</v>
      </c>
      <c r="Q63" s="2"/>
      <c r="R63" s="4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x14ac:dyDescent="0.25">
      <c r="A64" s="66"/>
      <c r="B64" s="67"/>
      <c r="C64" s="20" t="s">
        <v>19</v>
      </c>
      <c r="D64" s="51">
        <v>0</v>
      </c>
      <c r="E64" s="14">
        <f>E61*D64</f>
        <v>0</v>
      </c>
      <c r="F64" s="2"/>
      <c r="G64" s="2"/>
      <c r="H64" s="2"/>
      <c r="I64" s="2"/>
      <c r="J64" s="2"/>
      <c r="K64" s="2"/>
      <c r="L64" s="66"/>
      <c r="M64" s="67"/>
      <c r="N64" s="20" t="s">
        <v>19</v>
      </c>
      <c r="O64" s="51">
        <v>0</v>
      </c>
      <c r="P64" s="14">
        <f>P61*O64</f>
        <v>0</v>
      </c>
      <c r="Q64" s="2"/>
      <c r="R64" s="4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x14ac:dyDescent="0.25">
      <c r="A65" s="66"/>
      <c r="B65" s="67"/>
      <c r="C65" s="20" t="s">
        <v>33</v>
      </c>
      <c r="D65" s="51">
        <v>0</v>
      </c>
      <c r="E65" s="14">
        <f>D65*E61</f>
        <v>0</v>
      </c>
      <c r="F65" s="2"/>
      <c r="G65" s="2"/>
      <c r="H65" s="2"/>
      <c r="I65" s="2"/>
      <c r="J65" s="2"/>
      <c r="K65" s="2"/>
      <c r="L65" s="66"/>
      <c r="M65" s="67"/>
      <c r="N65" s="20" t="s">
        <v>33</v>
      </c>
      <c r="O65" s="51">
        <v>0</v>
      </c>
      <c r="P65" s="14">
        <f>O65*P61</f>
        <v>0</v>
      </c>
      <c r="Q65" s="2"/>
      <c r="R65" s="4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x14ac:dyDescent="0.25">
      <c r="A66" s="73" t="s">
        <v>21</v>
      </c>
      <c r="B66" s="74"/>
      <c r="C66" s="60" t="s">
        <v>23</v>
      </c>
      <c r="D66" s="51">
        <v>0</v>
      </c>
      <c r="E66" s="14">
        <f>D66*E61</f>
        <v>0</v>
      </c>
      <c r="F66" s="2"/>
      <c r="G66" s="2"/>
      <c r="H66" s="2"/>
      <c r="I66" s="2"/>
      <c r="J66" s="2"/>
      <c r="K66" s="2"/>
      <c r="L66" s="73" t="s">
        <v>21</v>
      </c>
      <c r="M66" s="74"/>
      <c r="N66" s="60" t="s">
        <v>23</v>
      </c>
      <c r="O66" s="51">
        <v>0</v>
      </c>
      <c r="P66" s="14">
        <f>O66*P61</f>
        <v>0</v>
      </c>
      <c r="Q66" s="2"/>
      <c r="R66" s="4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x14ac:dyDescent="0.25">
      <c r="A67" s="68" t="s">
        <v>42</v>
      </c>
      <c r="B67" s="69"/>
      <c r="C67" s="1"/>
      <c r="D67" s="1"/>
      <c r="E67" s="15">
        <f>SUM(E59,E62:E66)</f>
        <v>0</v>
      </c>
      <c r="F67" s="2"/>
      <c r="G67" s="2"/>
      <c r="H67" s="2"/>
      <c r="I67" s="2"/>
      <c r="J67" s="2"/>
      <c r="K67" s="2"/>
      <c r="L67" s="68" t="s">
        <v>42</v>
      </c>
      <c r="M67" s="69"/>
      <c r="N67" s="1"/>
      <c r="O67" s="1"/>
      <c r="P67" s="15">
        <f>SUM(P59,P62:P66)</f>
        <v>0</v>
      </c>
      <c r="Q67" s="2"/>
      <c r="R67" s="4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x14ac:dyDescent="0.25">
      <c r="A68" s="16"/>
      <c r="B68" s="17"/>
      <c r="C68" s="17"/>
      <c r="D68" s="21" t="s">
        <v>25</v>
      </c>
      <c r="E68" s="22">
        <f>E61-E67</f>
        <v>0</v>
      </c>
      <c r="F68" s="2"/>
      <c r="G68" s="2"/>
      <c r="H68" s="2"/>
      <c r="I68" s="2"/>
      <c r="J68" s="2"/>
      <c r="K68" s="2"/>
      <c r="L68" s="16"/>
      <c r="M68" s="17"/>
      <c r="N68" s="17"/>
      <c r="O68" s="21" t="s">
        <v>25</v>
      </c>
      <c r="P68" s="22">
        <f>P61-P67</f>
        <v>0</v>
      </c>
      <c r="Q68" s="2"/>
      <c r="R68" s="4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5.75" thickBot="1" x14ac:dyDescent="0.3">
      <c r="A69" s="18"/>
      <c r="B69" s="19"/>
      <c r="C69" s="19"/>
      <c r="D69" s="23" t="s">
        <v>24</v>
      </c>
      <c r="E69" s="24" t="e">
        <f>E68/E61</f>
        <v>#DIV/0!</v>
      </c>
      <c r="F69" s="2"/>
      <c r="G69" s="2"/>
      <c r="H69" s="2"/>
      <c r="I69" s="2"/>
      <c r="J69" s="2"/>
      <c r="K69" s="2"/>
      <c r="L69" s="18"/>
      <c r="M69" s="19"/>
      <c r="N69" s="19"/>
      <c r="O69" s="23" t="s">
        <v>24</v>
      </c>
      <c r="P69" s="24" t="e">
        <f>P68/P61</f>
        <v>#DIV/0!</v>
      </c>
      <c r="Q69" s="2"/>
      <c r="R69" s="4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4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4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4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4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4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4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4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4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4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4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4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4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4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4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4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4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4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4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4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4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4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4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4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4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4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4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4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4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4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4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4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4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4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4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4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4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4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4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4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4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4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4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4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4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4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4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4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4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4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4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4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4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4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4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4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4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4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4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4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4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4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4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4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4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4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4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4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4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4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4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4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4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4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4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4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4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4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4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4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4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4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4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4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4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4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4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4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4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4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4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4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4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4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4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4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4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4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4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4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4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4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4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4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4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4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4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4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4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4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4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4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4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4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4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4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4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4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4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4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4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4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4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4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4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4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4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4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4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4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4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4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4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4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4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4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4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4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4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4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4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4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4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4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4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4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4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4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4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4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4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4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4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4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4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4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4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4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4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4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4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4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4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4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4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4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4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4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4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4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4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4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4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4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4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4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4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4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4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4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4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4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4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4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4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4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4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4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4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4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4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4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4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4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4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4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4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4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4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4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4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4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4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4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4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4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4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4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4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4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4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4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4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4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4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4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4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4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4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4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4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4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4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4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4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4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4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4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4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4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4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4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4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4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4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4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4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4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4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4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4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4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4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4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4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4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4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4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4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4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4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4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4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4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4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4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4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4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4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4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4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4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4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4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4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4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4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4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4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4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4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4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4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4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4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4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4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4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4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4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4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4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4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4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4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4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4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4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4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4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4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4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4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4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4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4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4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4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4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4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4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4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4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4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4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4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4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4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4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4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4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4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4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4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4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4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4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4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4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4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4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4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4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4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4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4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4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4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4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4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4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4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4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4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4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4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4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4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4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4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4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4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</sheetData>
  <mergeCells count="42">
    <mergeCell ref="L3:P3"/>
    <mergeCell ref="A5:E5"/>
    <mergeCell ref="A13:B16"/>
    <mergeCell ref="A18:B18"/>
    <mergeCell ref="L13:M16"/>
    <mergeCell ref="L18:M18"/>
    <mergeCell ref="A17:B17"/>
    <mergeCell ref="L17:M17"/>
    <mergeCell ref="L4:P5"/>
    <mergeCell ref="N11:O11"/>
    <mergeCell ref="N12:O12"/>
    <mergeCell ref="C11:D11"/>
    <mergeCell ref="C12:D12"/>
    <mergeCell ref="L28:P28"/>
    <mergeCell ref="L38:M41"/>
    <mergeCell ref="L43:M43"/>
    <mergeCell ref="A28:E28"/>
    <mergeCell ref="A38:B41"/>
    <mergeCell ref="A42:B42"/>
    <mergeCell ref="L42:M42"/>
    <mergeCell ref="L29:P30"/>
    <mergeCell ref="A29:E30"/>
    <mergeCell ref="N36:O36"/>
    <mergeCell ref="N37:O37"/>
    <mergeCell ref="C36:D36"/>
    <mergeCell ref="C37:D37"/>
    <mergeCell ref="A2:D2"/>
    <mergeCell ref="A62:B65"/>
    <mergeCell ref="A67:B67"/>
    <mergeCell ref="L52:P52"/>
    <mergeCell ref="L62:M65"/>
    <mergeCell ref="L67:M67"/>
    <mergeCell ref="A52:E52"/>
    <mergeCell ref="A66:B66"/>
    <mergeCell ref="L66:M66"/>
    <mergeCell ref="L53:P54"/>
    <mergeCell ref="A53:E54"/>
    <mergeCell ref="N60:O60"/>
    <mergeCell ref="N61:O61"/>
    <mergeCell ref="C60:D60"/>
    <mergeCell ref="C61:D61"/>
    <mergeCell ref="A43:B4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AK163"/>
  <sheetViews>
    <sheetView showGridLines="0" showRowColHeaders="0" tabSelected="1" workbookViewId="0">
      <selection activeCell="B2" sqref="B2"/>
    </sheetView>
  </sheetViews>
  <sheetFormatPr defaultRowHeight="15" x14ac:dyDescent="0.25"/>
  <cols>
    <col min="1" max="1" width="20.42578125" customWidth="1"/>
    <col min="2" max="2" width="8.42578125" customWidth="1"/>
    <col min="3" max="3" width="11.42578125" customWidth="1"/>
    <col min="4" max="4" width="10.85546875" customWidth="1"/>
    <col min="5" max="5" width="9.85546875" customWidth="1"/>
    <col min="8" max="8" width="20.140625" customWidth="1"/>
    <col min="10" max="10" width="2.7109375" customWidth="1"/>
    <col min="11" max="11" width="23.85546875" customWidth="1"/>
    <col min="12" max="12" width="12.5703125" customWidth="1"/>
    <col min="13" max="13" width="12.28515625" customWidth="1"/>
    <col min="14" max="14" width="11.28515625" customWidth="1"/>
    <col min="15" max="15" width="10.42578125" customWidth="1"/>
  </cols>
  <sheetData>
    <row r="1" spans="1:22" ht="24" customHeight="1" thickBot="1" x14ac:dyDescent="0.35">
      <c r="A1" s="32"/>
      <c r="B1" s="33"/>
      <c r="C1" s="32"/>
      <c r="D1" s="32"/>
      <c r="E1" s="32"/>
      <c r="F1" s="32"/>
      <c r="G1" s="32"/>
      <c r="H1" s="32"/>
      <c r="I1" s="2"/>
      <c r="J1" s="2"/>
      <c r="K1" s="2"/>
      <c r="L1" s="2"/>
      <c r="M1" s="2"/>
      <c r="N1" s="2"/>
      <c r="O1" s="2"/>
      <c r="P1" s="2"/>
      <c r="Q1" s="4"/>
      <c r="R1" s="2"/>
      <c r="S1" s="2"/>
      <c r="T1" s="2"/>
    </row>
    <row r="2" spans="1:22" ht="21" x14ac:dyDescent="0.35">
      <c r="A2" s="34" t="s">
        <v>50</v>
      </c>
      <c r="B2" s="33"/>
      <c r="C2" s="32"/>
      <c r="D2" s="32"/>
      <c r="E2" s="32"/>
      <c r="F2" s="32"/>
      <c r="G2" s="32"/>
      <c r="H2" s="32"/>
      <c r="I2" s="2"/>
      <c r="J2" s="2"/>
      <c r="K2" s="70" t="s">
        <v>43</v>
      </c>
      <c r="L2" s="71"/>
      <c r="M2" s="71"/>
      <c r="N2" s="71"/>
      <c r="O2" s="72"/>
      <c r="P2" s="2"/>
      <c r="Q2" s="4"/>
      <c r="R2" s="2"/>
      <c r="S2" s="2"/>
      <c r="T2" s="2"/>
      <c r="U2" s="2"/>
      <c r="V2" s="2"/>
    </row>
    <row r="3" spans="1:22" ht="38.25" customHeight="1" x14ac:dyDescent="0.25">
      <c r="A3" s="32"/>
      <c r="B3" s="32"/>
      <c r="C3" s="32"/>
      <c r="D3" s="32"/>
      <c r="E3" s="32"/>
      <c r="F3" s="32"/>
      <c r="G3" s="32"/>
      <c r="H3" s="32"/>
      <c r="I3" s="2"/>
      <c r="J3" s="2"/>
      <c r="K3" s="93" t="s">
        <v>34</v>
      </c>
      <c r="L3" s="94"/>
      <c r="M3" s="94"/>
      <c r="N3" s="94"/>
      <c r="O3" s="95"/>
      <c r="P3" s="2"/>
      <c r="Q3" s="4"/>
      <c r="R3" s="2"/>
      <c r="S3" s="2"/>
      <c r="T3" s="2"/>
      <c r="U3" s="2"/>
      <c r="V3" s="2"/>
    </row>
    <row r="4" spans="1:22" ht="27" thickBot="1" x14ac:dyDescent="0.45">
      <c r="A4" s="39" t="s">
        <v>20</v>
      </c>
      <c r="B4" s="32"/>
      <c r="C4" s="32"/>
      <c r="D4" s="32"/>
      <c r="E4" s="32"/>
      <c r="F4" s="32"/>
      <c r="G4" s="32"/>
      <c r="H4" s="32"/>
      <c r="I4" s="2"/>
      <c r="J4" s="2"/>
      <c r="K4" s="96"/>
      <c r="L4" s="94"/>
      <c r="M4" s="94"/>
      <c r="N4" s="94"/>
      <c r="O4" s="95"/>
      <c r="P4" s="2"/>
      <c r="Q4" s="4"/>
      <c r="R4" s="2"/>
      <c r="S4" s="2"/>
      <c r="T4" s="2"/>
      <c r="U4" s="2"/>
      <c r="V4" s="2"/>
    </row>
    <row r="5" spans="1:22" ht="19.5" thickBot="1" x14ac:dyDescent="0.35">
      <c r="A5" s="85" t="s">
        <v>3</v>
      </c>
      <c r="B5" s="86"/>
      <c r="C5" s="86"/>
      <c r="D5" s="86"/>
      <c r="E5" s="87"/>
      <c r="F5" s="32"/>
      <c r="G5" s="32"/>
      <c r="H5" s="32"/>
      <c r="I5" s="2"/>
      <c r="J5" s="3"/>
      <c r="K5" s="97"/>
      <c r="L5" s="98"/>
      <c r="M5" s="98"/>
      <c r="N5" s="98"/>
      <c r="O5" s="99"/>
      <c r="P5" s="2"/>
      <c r="Q5" s="4"/>
      <c r="R5" s="2"/>
      <c r="S5" s="2"/>
      <c r="T5" s="2"/>
      <c r="U5" s="2"/>
      <c r="V5" s="2"/>
    </row>
    <row r="6" spans="1:22" ht="15.75" x14ac:dyDescent="0.25">
      <c r="A6" s="37" t="s">
        <v>13</v>
      </c>
      <c r="B6" s="37" t="s">
        <v>6</v>
      </c>
      <c r="C6" s="38" t="s">
        <v>0</v>
      </c>
      <c r="D6" s="37" t="s">
        <v>1</v>
      </c>
      <c r="E6" s="37" t="s">
        <v>2</v>
      </c>
      <c r="F6" s="32"/>
      <c r="G6" s="32"/>
      <c r="H6" s="32"/>
      <c r="I6" s="2"/>
      <c r="J6" s="2"/>
      <c r="K6" s="9" t="s">
        <v>13</v>
      </c>
      <c r="L6" s="10" t="s">
        <v>6</v>
      </c>
      <c r="M6" s="11" t="s">
        <v>0</v>
      </c>
      <c r="N6" s="10" t="s">
        <v>1</v>
      </c>
      <c r="O6" s="12" t="s">
        <v>2</v>
      </c>
      <c r="P6" s="2"/>
      <c r="Q6" s="4"/>
      <c r="R6" s="2"/>
      <c r="S6" s="2"/>
      <c r="T6" s="2"/>
      <c r="U6" s="2"/>
      <c r="V6" s="2"/>
    </row>
    <row r="7" spans="1:22" x14ac:dyDescent="0.25">
      <c r="A7" s="47" t="s">
        <v>4</v>
      </c>
      <c r="B7" s="47" t="s">
        <v>7</v>
      </c>
      <c r="C7" s="47">
        <v>2.2000000000000002</v>
      </c>
      <c r="D7" s="47">
        <v>3.9</v>
      </c>
      <c r="E7" s="47">
        <f>C7*D7</f>
        <v>8.58</v>
      </c>
      <c r="F7" s="32"/>
      <c r="G7" s="32"/>
      <c r="H7" s="32"/>
      <c r="I7" s="2"/>
      <c r="J7" s="2"/>
      <c r="K7" s="49"/>
      <c r="L7" s="50"/>
      <c r="M7" s="50"/>
      <c r="N7" s="50"/>
      <c r="O7" s="8">
        <f>M7*N7</f>
        <v>0</v>
      </c>
      <c r="P7" s="2"/>
      <c r="Q7" s="4"/>
      <c r="R7" s="2"/>
      <c r="S7" s="2"/>
      <c r="T7" s="2"/>
      <c r="U7" s="2"/>
      <c r="V7" s="2"/>
    </row>
    <row r="8" spans="1:22" x14ac:dyDescent="0.25">
      <c r="A8" s="47" t="s">
        <v>5</v>
      </c>
      <c r="B8" s="47" t="s">
        <v>8</v>
      </c>
      <c r="C8" s="47">
        <v>1</v>
      </c>
      <c r="D8" s="47">
        <v>4.5</v>
      </c>
      <c r="E8" s="47">
        <f t="shared" ref="E8:E11" si="0">C8*D8</f>
        <v>4.5</v>
      </c>
      <c r="F8" s="32"/>
      <c r="G8" s="32"/>
      <c r="H8" s="32"/>
      <c r="I8" s="2"/>
      <c r="J8" s="2"/>
      <c r="K8" s="49"/>
      <c r="L8" s="50"/>
      <c r="M8" s="50"/>
      <c r="N8" s="50"/>
      <c r="O8" s="8">
        <f t="shared" ref="O8:O11" si="1">M8*N8</f>
        <v>0</v>
      </c>
      <c r="P8" s="2"/>
      <c r="Q8" s="4"/>
      <c r="R8" s="2"/>
      <c r="S8" s="2"/>
      <c r="T8" s="2"/>
      <c r="U8" s="2"/>
      <c r="V8" s="2"/>
    </row>
    <row r="9" spans="1:22" x14ac:dyDescent="0.25">
      <c r="A9" s="47" t="s">
        <v>9</v>
      </c>
      <c r="B9" s="47" t="s">
        <v>8</v>
      </c>
      <c r="C9" s="47">
        <v>2</v>
      </c>
      <c r="D9" s="47">
        <v>0.15</v>
      </c>
      <c r="E9" s="47">
        <f t="shared" si="0"/>
        <v>0.3</v>
      </c>
      <c r="F9" s="32"/>
      <c r="G9" s="32"/>
      <c r="H9" s="32"/>
      <c r="I9" s="2"/>
      <c r="J9" s="2"/>
      <c r="K9" s="49"/>
      <c r="L9" s="50"/>
      <c r="M9" s="50"/>
      <c r="N9" s="50"/>
      <c r="O9" s="8">
        <f t="shared" si="1"/>
        <v>0</v>
      </c>
      <c r="P9" s="2"/>
      <c r="Q9" s="4"/>
      <c r="R9" s="2"/>
      <c r="S9" s="2"/>
      <c r="T9" s="2"/>
      <c r="U9" s="2"/>
      <c r="V9" s="2"/>
    </row>
    <row r="10" spans="1:22" x14ac:dyDescent="0.25">
      <c r="A10" s="47" t="s">
        <v>10</v>
      </c>
      <c r="B10" s="47" t="s">
        <v>7</v>
      </c>
      <c r="C10" s="47">
        <v>0.08</v>
      </c>
      <c r="D10" s="47">
        <v>9</v>
      </c>
      <c r="E10" s="47">
        <f t="shared" si="0"/>
        <v>0.72</v>
      </c>
      <c r="F10" s="32"/>
      <c r="G10" s="32"/>
      <c r="H10" s="32"/>
      <c r="I10" s="2"/>
      <c r="J10" s="2"/>
      <c r="K10" s="49"/>
      <c r="L10" s="50"/>
      <c r="M10" s="50"/>
      <c r="N10" s="50"/>
      <c r="O10" s="8">
        <f t="shared" si="1"/>
        <v>0</v>
      </c>
      <c r="P10" s="2"/>
      <c r="Q10" s="4"/>
      <c r="R10" s="2"/>
      <c r="S10" s="2"/>
      <c r="T10" s="2"/>
      <c r="U10" s="2"/>
      <c r="V10" s="2"/>
    </row>
    <row r="11" spans="1:22" x14ac:dyDescent="0.25">
      <c r="A11" s="47" t="s">
        <v>11</v>
      </c>
      <c r="B11" s="47" t="s">
        <v>8</v>
      </c>
      <c r="C11" s="47">
        <v>1</v>
      </c>
      <c r="D11" s="47">
        <v>0.12</v>
      </c>
      <c r="E11" s="47">
        <f t="shared" si="0"/>
        <v>0.12</v>
      </c>
      <c r="F11" s="32"/>
      <c r="G11" s="32"/>
      <c r="H11" s="32"/>
      <c r="I11" s="2"/>
      <c r="J11" s="2"/>
      <c r="K11" s="49"/>
      <c r="L11" s="50"/>
      <c r="M11" s="50"/>
      <c r="N11" s="50"/>
      <c r="O11" s="8">
        <f t="shared" si="1"/>
        <v>0</v>
      </c>
      <c r="P11" s="2"/>
      <c r="Q11" s="4"/>
      <c r="R11" s="2"/>
      <c r="S11" s="2"/>
      <c r="T11" s="2"/>
      <c r="U11" s="2"/>
      <c r="V11" s="2"/>
    </row>
    <row r="12" spans="1:22" x14ac:dyDescent="0.25">
      <c r="A12" s="32"/>
      <c r="B12" s="32"/>
      <c r="C12" s="40" t="s">
        <v>12</v>
      </c>
      <c r="D12" s="40"/>
      <c r="E12" s="42">
        <f>SUM(E7:E11)</f>
        <v>14.22</v>
      </c>
      <c r="F12" s="32"/>
      <c r="G12" s="32"/>
      <c r="H12" s="32"/>
      <c r="I12" s="2"/>
      <c r="J12" s="2"/>
      <c r="K12" s="16"/>
      <c r="L12" s="17"/>
      <c r="M12" s="20" t="s">
        <v>12</v>
      </c>
      <c r="N12" s="13"/>
      <c r="O12" s="14">
        <f>SUM(O7:O11)</f>
        <v>0</v>
      </c>
      <c r="P12" s="2"/>
      <c r="Q12" s="4"/>
      <c r="R12" s="2"/>
      <c r="S12" s="2"/>
      <c r="T12" s="2"/>
      <c r="U12" s="2"/>
      <c r="V12" s="2"/>
    </row>
    <row r="13" spans="1:22" x14ac:dyDescent="0.25">
      <c r="A13" s="32"/>
      <c r="B13" s="32"/>
      <c r="C13" s="91" t="s">
        <v>14</v>
      </c>
      <c r="D13" s="91"/>
      <c r="E13" s="55">
        <v>0.65</v>
      </c>
      <c r="F13" s="32"/>
      <c r="G13" s="32"/>
      <c r="H13" s="32"/>
      <c r="I13" s="2"/>
      <c r="J13" s="2"/>
      <c r="K13" s="16"/>
      <c r="L13" s="17"/>
      <c r="M13" s="81" t="s">
        <v>14</v>
      </c>
      <c r="N13" s="81"/>
      <c r="O13" s="52">
        <v>0</v>
      </c>
      <c r="P13" s="2"/>
      <c r="Q13" s="4"/>
      <c r="R13" s="2"/>
      <c r="S13" s="2"/>
      <c r="T13" s="2"/>
      <c r="U13" s="2"/>
      <c r="V13" s="2"/>
    </row>
    <row r="14" spans="1:22" x14ac:dyDescent="0.25">
      <c r="A14" s="32"/>
      <c r="B14" s="32"/>
      <c r="C14" s="92" t="s">
        <v>15</v>
      </c>
      <c r="D14" s="92"/>
      <c r="E14" s="56">
        <f>E12*E13+E12</f>
        <v>23.463000000000001</v>
      </c>
      <c r="F14" s="32"/>
      <c r="G14" s="32"/>
      <c r="H14" s="32"/>
      <c r="I14" s="2"/>
      <c r="J14" s="2"/>
      <c r="K14" s="16"/>
      <c r="L14" s="17"/>
      <c r="M14" s="100" t="s">
        <v>15</v>
      </c>
      <c r="N14" s="100"/>
      <c r="O14" s="54">
        <f>O12*O13+O12</f>
        <v>0</v>
      </c>
      <c r="P14" s="2"/>
      <c r="Q14" s="4"/>
      <c r="R14" s="2"/>
      <c r="S14" s="2"/>
      <c r="T14" s="2"/>
      <c r="U14" s="2"/>
      <c r="V14" s="2"/>
    </row>
    <row r="15" spans="1:22" x14ac:dyDescent="0.25">
      <c r="A15" s="88" t="s">
        <v>16</v>
      </c>
      <c r="B15" s="88"/>
      <c r="C15" s="40" t="s">
        <v>17</v>
      </c>
      <c r="D15" s="41">
        <v>0.12</v>
      </c>
      <c r="E15" s="42">
        <f>E14*D15</f>
        <v>2.8155600000000001</v>
      </c>
      <c r="F15" s="32"/>
      <c r="G15" s="32"/>
      <c r="H15" s="32"/>
      <c r="I15" s="2"/>
      <c r="J15" s="2"/>
      <c r="K15" s="66" t="s">
        <v>16</v>
      </c>
      <c r="L15" s="67"/>
      <c r="M15" s="20" t="s">
        <v>17</v>
      </c>
      <c r="N15" s="51">
        <v>0</v>
      </c>
      <c r="O15" s="14">
        <f>O14*N15</f>
        <v>0</v>
      </c>
      <c r="P15" s="2"/>
      <c r="Q15" s="4"/>
      <c r="R15" s="2"/>
      <c r="S15" s="2"/>
      <c r="T15" s="2"/>
      <c r="U15" s="2"/>
      <c r="V15" s="2"/>
    </row>
    <row r="16" spans="1:22" x14ac:dyDescent="0.25">
      <c r="A16" s="88"/>
      <c r="B16" s="88"/>
      <c r="C16" s="40" t="s">
        <v>18</v>
      </c>
      <c r="D16" s="41">
        <v>0.05</v>
      </c>
      <c r="E16" s="42">
        <f>E14*D16</f>
        <v>1.1731500000000001</v>
      </c>
      <c r="F16" s="32"/>
      <c r="G16" s="32"/>
      <c r="H16" s="32"/>
      <c r="I16" s="2"/>
      <c r="J16" s="2"/>
      <c r="K16" s="66"/>
      <c r="L16" s="67"/>
      <c r="M16" s="20" t="s">
        <v>18</v>
      </c>
      <c r="N16" s="51">
        <v>0</v>
      </c>
      <c r="O16" s="14">
        <f>O14*N16</f>
        <v>0</v>
      </c>
      <c r="P16" s="2"/>
      <c r="Q16" s="4"/>
      <c r="R16" s="2"/>
      <c r="S16" s="2"/>
      <c r="T16" s="2"/>
      <c r="U16" s="2"/>
      <c r="V16" s="2"/>
    </row>
    <row r="17" spans="1:22" x14ac:dyDescent="0.25">
      <c r="A17" s="88"/>
      <c r="B17" s="88"/>
      <c r="C17" s="40" t="s">
        <v>19</v>
      </c>
      <c r="D17" s="41">
        <v>0.04</v>
      </c>
      <c r="E17" s="42">
        <f>E14*D17</f>
        <v>0.93852000000000002</v>
      </c>
      <c r="F17" s="32"/>
      <c r="G17" s="32"/>
      <c r="H17" s="32"/>
      <c r="I17" s="2"/>
      <c r="J17" s="2"/>
      <c r="K17" s="66"/>
      <c r="L17" s="67"/>
      <c r="M17" s="20" t="s">
        <v>19</v>
      </c>
      <c r="N17" s="51">
        <v>0</v>
      </c>
      <c r="O17" s="14">
        <f>O14*N17</f>
        <v>0</v>
      </c>
      <c r="P17" s="2"/>
      <c r="Q17" s="4"/>
      <c r="R17" s="2"/>
      <c r="S17" s="2"/>
      <c r="T17" s="2"/>
      <c r="U17" s="2"/>
      <c r="V17" s="2"/>
    </row>
    <row r="18" spans="1:22" x14ac:dyDescent="0.25">
      <c r="A18" s="90" t="s">
        <v>21</v>
      </c>
      <c r="B18" s="90"/>
      <c r="C18" s="61" t="s">
        <v>22</v>
      </c>
      <c r="D18" s="62">
        <v>2.5000000000000001E-2</v>
      </c>
      <c r="E18" s="63">
        <f>D18*E14</f>
        <v>0.58657500000000007</v>
      </c>
      <c r="F18" s="32"/>
      <c r="G18" s="32"/>
      <c r="H18" s="32"/>
      <c r="I18" s="2"/>
      <c r="J18" s="2"/>
      <c r="K18" s="73" t="s">
        <v>21</v>
      </c>
      <c r="L18" s="74"/>
      <c r="M18" s="60" t="s">
        <v>22</v>
      </c>
      <c r="N18" s="51">
        <v>0</v>
      </c>
      <c r="O18" s="64">
        <f>N18*O14</f>
        <v>0</v>
      </c>
      <c r="P18" s="2"/>
      <c r="Q18" s="4"/>
      <c r="R18" s="2"/>
      <c r="S18" s="2"/>
      <c r="T18" s="2"/>
      <c r="U18" s="2"/>
      <c r="V18" s="2"/>
    </row>
    <row r="19" spans="1:22" x14ac:dyDescent="0.25">
      <c r="A19" s="90"/>
      <c r="B19" s="90"/>
      <c r="C19" s="61" t="s">
        <v>23</v>
      </c>
      <c r="D19" s="62">
        <v>0.03</v>
      </c>
      <c r="E19" s="63">
        <f>D19*E14</f>
        <v>0.70389000000000002</v>
      </c>
      <c r="F19" s="32"/>
      <c r="G19" s="32"/>
      <c r="H19" s="32"/>
      <c r="I19" s="2"/>
      <c r="J19" s="2"/>
      <c r="K19" s="73"/>
      <c r="L19" s="74"/>
      <c r="M19" s="60" t="s">
        <v>23</v>
      </c>
      <c r="N19" s="51">
        <v>0</v>
      </c>
      <c r="O19" s="64">
        <f>N19*O14</f>
        <v>0</v>
      </c>
      <c r="P19" s="2"/>
      <c r="Q19" s="4"/>
      <c r="R19" s="2"/>
      <c r="S19" s="2"/>
      <c r="T19" s="2"/>
      <c r="U19" s="2"/>
      <c r="V19" s="2"/>
    </row>
    <row r="20" spans="1:22" x14ac:dyDescent="0.25">
      <c r="A20" s="89" t="s">
        <v>42</v>
      </c>
      <c r="B20" s="89"/>
      <c r="C20" s="57"/>
      <c r="D20" s="57"/>
      <c r="E20" s="58">
        <f>SUM(E12,E15:E19)</f>
        <v>20.437695000000001</v>
      </c>
      <c r="F20" s="32"/>
      <c r="G20" s="32"/>
      <c r="H20" s="32"/>
      <c r="I20" s="2"/>
      <c r="J20" s="2"/>
      <c r="K20" s="68" t="s">
        <v>42</v>
      </c>
      <c r="L20" s="69"/>
      <c r="M20" s="1"/>
      <c r="N20" s="1"/>
      <c r="O20" s="15">
        <f>SUM(O12,O15:O19)</f>
        <v>0</v>
      </c>
      <c r="P20" s="2"/>
      <c r="Q20" s="4"/>
      <c r="R20" s="2"/>
      <c r="S20" s="2"/>
      <c r="T20" s="2"/>
      <c r="U20" s="2"/>
      <c r="V20" s="2"/>
    </row>
    <row r="21" spans="1:22" x14ac:dyDescent="0.25">
      <c r="A21" s="32"/>
      <c r="B21" s="32"/>
      <c r="C21" s="43"/>
      <c r="D21" s="57" t="s">
        <v>25</v>
      </c>
      <c r="E21" s="58">
        <f>E14-E20</f>
        <v>3.0253049999999995</v>
      </c>
      <c r="F21" s="32"/>
      <c r="G21" s="32"/>
      <c r="H21" s="32"/>
      <c r="I21" s="2"/>
      <c r="J21" s="2"/>
      <c r="K21" s="16"/>
      <c r="L21" s="17"/>
      <c r="M21" s="17"/>
      <c r="N21" s="21" t="s">
        <v>25</v>
      </c>
      <c r="O21" s="22">
        <f>O14-O20</f>
        <v>0</v>
      </c>
      <c r="P21" s="2"/>
      <c r="Q21" s="4"/>
      <c r="R21" s="2"/>
      <c r="S21" s="2"/>
      <c r="T21" s="2"/>
      <c r="U21" s="2"/>
      <c r="V21" s="2"/>
    </row>
    <row r="22" spans="1:22" ht="15.75" thickBot="1" x14ac:dyDescent="0.3">
      <c r="A22" s="32"/>
      <c r="B22" s="32"/>
      <c r="C22" s="43"/>
      <c r="D22" s="57" t="s">
        <v>24</v>
      </c>
      <c r="E22" s="59">
        <f>E21/E14</f>
        <v>0.12893939393939391</v>
      </c>
      <c r="F22" s="32"/>
      <c r="G22" s="32"/>
      <c r="H22" s="32"/>
      <c r="I22" s="2"/>
      <c r="J22" s="2"/>
      <c r="K22" s="18"/>
      <c r="L22" s="19"/>
      <c r="M22" s="19"/>
      <c r="N22" s="23" t="s">
        <v>24</v>
      </c>
      <c r="O22" s="24" t="e">
        <f>O21/O14</f>
        <v>#DIV/0!</v>
      </c>
      <c r="P22" s="2"/>
      <c r="Q22" s="4"/>
      <c r="R22" s="2"/>
      <c r="S22" s="2"/>
      <c r="T22" s="2"/>
      <c r="U22" s="2"/>
      <c r="V22" s="2"/>
    </row>
    <row r="23" spans="1:22" x14ac:dyDescent="0.25">
      <c r="A23" s="32"/>
      <c r="B23" s="32"/>
      <c r="C23" s="32"/>
      <c r="D23" s="32"/>
      <c r="E23" s="32"/>
      <c r="F23" s="32"/>
      <c r="G23" s="32"/>
      <c r="H23" s="32"/>
      <c r="I23" s="2"/>
      <c r="J23" s="2"/>
      <c r="K23" s="2" t="s">
        <v>44</v>
      </c>
      <c r="L23" s="2"/>
      <c r="M23" s="2"/>
      <c r="N23" s="2"/>
      <c r="O23" s="2"/>
      <c r="P23" s="2"/>
      <c r="Q23" s="4"/>
      <c r="R23" s="2"/>
      <c r="S23" s="2"/>
      <c r="T23" s="2"/>
      <c r="U23" s="2"/>
      <c r="V23" s="2"/>
    </row>
    <row r="24" spans="1:22" x14ac:dyDescent="0.25">
      <c r="A24" s="32"/>
      <c r="B24" s="32"/>
      <c r="C24" s="32"/>
      <c r="D24" s="32"/>
      <c r="E24" s="32"/>
      <c r="F24" s="32"/>
      <c r="G24" s="32"/>
      <c r="H24" s="32"/>
      <c r="I24" s="2"/>
      <c r="J24" s="2"/>
      <c r="K24" s="2"/>
      <c r="L24" s="2"/>
      <c r="M24" s="2"/>
      <c r="N24" s="2"/>
      <c r="O24" s="2"/>
      <c r="P24" s="2"/>
      <c r="Q24" s="4"/>
      <c r="R24" s="2"/>
      <c r="S24" s="2"/>
      <c r="T24" s="2"/>
      <c r="U24" s="2"/>
      <c r="V24" s="2"/>
    </row>
    <row r="25" spans="1:2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4"/>
      <c r="R25" s="2"/>
      <c r="S25" s="2"/>
      <c r="T25" s="2"/>
      <c r="U25" s="2"/>
      <c r="V25" s="2"/>
    </row>
    <row r="26" spans="1:2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4"/>
      <c r="R26" s="2"/>
      <c r="S26" s="2"/>
      <c r="T26" s="2"/>
      <c r="U26" s="2"/>
      <c r="V26" s="2"/>
    </row>
    <row r="27" spans="1:2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4"/>
      <c r="R27" s="2"/>
      <c r="S27" s="2"/>
      <c r="T27" s="2"/>
      <c r="U27" s="2"/>
      <c r="V27" s="2"/>
    </row>
    <row r="28" spans="1:22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4"/>
      <c r="R28" s="2"/>
      <c r="S28" s="2"/>
      <c r="T28" s="2"/>
      <c r="U28" s="2"/>
      <c r="V28" s="2"/>
    </row>
    <row r="29" spans="1:22" ht="15.75" x14ac:dyDescent="0.25">
      <c r="A29" s="70" t="s">
        <v>43</v>
      </c>
      <c r="B29" s="71"/>
      <c r="C29" s="71"/>
      <c r="D29" s="71"/>
      <c r="E29" s="72"/>
      <c r="F29" s="2"/>
      <c r="G29" s="2"/>
      <c r="H29" s="2"/>
      <c r="I29" s="2"/>
      <c r="J29" s="2"/>
      <c r="K29" s="70" t="s">
        <v>43</v>
      </c>
      <c r="L29" s="71"/>
      <c r="M29" s="71"/>
      <c r="N29" s="71"/>
      <c r="O29" s="72"/>
      <c r="P29" s="2"/>
      <c r="Q29" s="4"/>
      <c r="R29" s="2"/>
      <c r="S29" s="2"/>
      <c r="T29" s="2"/>
      <c r="U29" s="2"/>
      <c r="V29" s="2"/>
    </row>
    <row r="30" spans="1:22" ht="15" customHeight="1" x14ac:dyDescent="0.25">
      <c r="A30" s="93" t="s">
        <v>38</v>
      </c>
      <c r="B30" s="94"/>
      <c r="C30" s="94"/>
      <c r="D30" s="94"/>
      <c r="E30" s="95"/>
      <c r="F30" s="2"/>
      <c r="G30" s="2"/>
      <c r="H30" s="2"/>
      <c r="I30" s="2"/>
      <c r="J30" s="2"/>
      <c r="K30" s="93" t="s">
        <v>39</v>
      </c>
      <c r="L30" s="94"/>
      <c r="M30" s="94"/>
      <c r="N30" s="94"/>
      <c r="O30" s="95"/>
      <c r="P30" s="2"/>
      <c r="Q30" s="4"/>
      <c r="R30" s="2"/>
      <c r="S30" s="2"/>
      <c r="T30" s="2"/>
      <c r="U30" s="2"/>
      <c r="V30" s="2"/>
    </row>
    <row r="31" spans="1:22" ht="15" customHeight="1" x14ac:dyDescent="0.25">
      <c r="A31" s="96"/>
      <c r="B31" s="94"/>
      <c r="C31" s="94"/>
      <c r="D31" s="94"/>
      <c r="E31" s="95"/>
      <c r="F31" s="2"/>
      <c r="G31" s="2"/>
      <c r="H31" s="2"/>
      <c r="I31" s="2"/>
      <c r="J31" s="2"/>
      <c r="K31" s="96"/>
      <c r="L31" s="94"/>
      <c r="M31" s="94"/>
      <c r="N31" s="94"/>
      <c r="O31" s="95"/>
      <c r="P31" s="2"/>
      <c r="Q31" s="4"/>
      <c r="R31" s="2"/>
      <c r="S31" s="2"/>
      <c r="T31" s="2"/>
      <c r="U31" s="2"/>
      <c r="V31" s="2"/>
    </row>
    <row r="32" spans="1:22" ht="15" customHeight="1" x14ac:dyDescent="0.25">
      <c r="A32" s="97"/>
      <c r="B32" s="98"/>
      <c r="C32" s="98"/>
      <c r="D32" s="98"/>
      <c r="E32" s="99"/>
      <c r="F32" s="2"/>
      <c r="G32" s="2"/>
      <c r="H32" s="2"/>
      <c r="I32" s="2"/>
      <c r="J32" s="2"/>
      <c r="K32" s="97"/>
      <c r="L32" s="98"/>
      <c r="M32" s="98"/>
      <c r="N32" s="98"/>
      <c r="O32" s="99"/>
      <c r="P32" s="2"/>
      <c r="Q32" s="4"/>
      <c r="R32" s="2"/>
      <c r="S32" s="2"/>
      <c r="T32" s="2"/>
      <c r="U32" s="2"/>
      <c r="V32" s="2"/>
    </row>
    <row r="33" spans="1:22" ht="15.75" x14ac:dyDescent="0.25">
      <c r="A33" s="9" t="s">
        <v>13</v>
      </c>
      <c r="B33" s="10" t="s">
        <v>6</v>
      </c>
      <c r="C33" s="11" t="s">
        <v>0</v>
      </c>
      <c r="D33" s="10" t="s">
        <v>1</v>
      </c>
      <c r="E33" s="12" t="s">
        <v>2</v>
      </c>
      <c r="F33" s="2"/>
      <c r="G33" s="2"/>
      <c r="H33" s="2"/>
      <c r="I33" s="2"/>
      <c r="J33" s="2"/>
      <c r="K33" s="9" t="s">
        <v>13</v>
      </c>
      <c r="L33" s="10" t="s">
        <v>6</v>
      </c>
      <c r="M33" s="11" t="s">
        <v>0</v>
      </c>
      <c r="N33" s="10" t="s">
        <v>1</v>
      </c>
      <c r="O33" s="12" t="s">
        <v>2</v>
      </c>
      <c r="P33" s="2"/>
      <c r="Q33" s="4"/>
      <c r="R33" s="2"/>
      <c r="S33" s="2"/>
      <c r="T33" s="2"/>
      <c r="U33" s="2"/>
      <c r="V33" s="2"/>
    </row>
    <row r="34" spans="1:22" x14ac:dyDescent="0.25">
      <c r="A34" s="49"/>
      <c r="B34" s="50"/>
      <c r="C34" s="50"/>
      <c r="D34" s="50"/>
      <c r="E34" s="8">
        <f>C34*D34</f>
        <v>0</v>
      </c>
      <c r="F34" s="2"/>
      <c r="G34" s="2"/>
      <c r="H34" s="2"/>
      <c r="I34" s="2"/>
      <c r="J34" s="2"/>
      <c r="K34" s="49"/>
      <c r="L34" s="50"/>
      <c r="M34" s="50"/>
      <c r="N34" s="50"/>
      <c r="O34" s="8">
        <f>M34*N34</f>
        <v>0</v>
      </c>
      <c r="P34" s="2"/>
      <c r="Q34" s="4"/>
      <c r="R34" s="2"/>
      <c r="S34" s="2"/>
      <c r="T34" s="2"/>
      <c r="U34" s="2"/>
      <c r="V34" s="2"/>
    </row>
    <row r="35" spans="1:22" x14ac:dyDescent="0.25">
      <c r="A35" s="49"/>
      <c r="B35" s="50"/>
      <c r="C35" s="50"/>
      <c r="D35" s="50"/>
      <c r="E35" s="8">
        <f t="shared" ref="E35:E37" si="2">C35*D35</f>
        <v>0</v>
      </c>
      <c r="F35" s="2"/>
      <c r="G35" s="2"/>
      <c r="H35" s="2"/>
      <c r="I35" s="2"/>
      <c r="J35" s="2"/>
      <c r="K35" s="49"/>
      <c r="L35" s="50"/>
      <c r="M35" s="50"/>
      <c r="N35" s="50"/>
      <c r="O35" s="8">
        <f t="shared" ref="O35:O38" si="3">M35*N35</f>
        <v>0</v>
      </c>
      <c r="P35" s="2"/>
      <c r="Q35" s="4"/>
      <c r="R35" s="2"/>
      <c r="S35" s="2"/>
      <c r="T35" s="2"/>
      <c r="U35" s="2"/>
      <c r="V35" s="2"/>
    </row>
    <row r="36" spans="1:22" x14ac:dyDescent="0.25">
      <c r="A36" s="49"/>
      <c r="B36" s="50"/>
      <c r="C36" s="50"/>
      <c r="D36" s="50"/>
      <c r="E36" s="8">
        <f t="shared" si="2"/>
        <v>0</v>
      </c>
      <c r="F36" s="2"/>
      <c r="G36" s="2"/>
      <c r="H36" s="2"/>
      <c r="I36" s="2"/>
      <c r="J36" s="2"/>
      <c r="K36" s="49"/>
      <c r="L36" s="50"/>
      <c r="M36" s="50"/>
      <c r="N36" s="50"/>
      <c r="O36" s="8">
        <f t="shared" si="3"/>
        <v>0</v>
      </c>
      <c r="P36" s="2"/>
      <c r="Q36" s="4"/>
      <c r="R36" s="2"/>
      <c r="S36" s="2"/>
      <c r="T36" s="2"/>
      <c r="U36" s="2"/>
      <c r="V36" s="2"/>
    </row>
    <row r="37" spans="1:22" x14ac:dyDescent="0.25">
      <c r="A37" s="49"/>
      <c r="B37" s="50"/>
      <c r="C37" s="50"/>
      <c r="D37" s="50"/>
      <c r="E37" s="8">
        <f t="shared" si="2"/>
        <v>0</v>
      </c>
      <c r="F37" s="2"/>
      <c r="G37" s="2"/>
      <c r="H37" s="2"/>
      <c r="I37" s="2"/>
      <c r="J37" s="2"/>
      <c r="K37" s="49"/>
      <c r="L37" s="50"/>
      <c r="M37" s="50"/>
      <c r="N37" s="50"/>
      <c r="O37" s="8">
        <f t="shared" si="3"/>
        <v>0</v>
      </c>
      <c r="P37" s="2"/>
      <c r="Q37" s="4"/>
      <c r="R37" s="2"/>
      <c r="S37" s="2"/>
      <c r="T37" s="2"/>
      <c r="U37" s="2"/>
      <c r="V37" s="2"/>
    </row>
    <row r="38" spans="1:22" x14ac:dyDescent="0.25">
      <c r="A38" s="49"/>
      <c r="B38" s="50"/>
      <c r="C38" s="50"/>
      <c r="D38" s="50"/>
      <c r="E38" s="8">
        <v>0</v>
      </c>
      <c r="F38" s="2"/>
      <c r="G38" s="2"/>
      <c r="H38" s="2"/>
      <c r="I38" s="2"/>
      <c r="J38" s="2"/>
      <c r="K38" s="49"/>
      <c r="L38" s="50"/>
      <c r="M38" s="50"/>
      <c r="N38" s="50"/>
      <c r="O38" s="8">
        <f t="shared" si="3"/>
        <v>0</v>
      </c>
      <c r="P38" s="2"/>
      <c r="Q38" s="4"/>
      <c r="R38" s="2"/>
      <c r="S38" s="2"/>
      <c r="T38" s="2"/>
      <c r="U38" s="2"/>
      <c r="V38" s="2"/>
    </row>
    <row r="39" spans="1:22" x14ac:dyDescent="0.25">
      <c r="A39" s="16"/>
      <c r="B39" s="17"/>
      <c r="C39" s="20" t="s">
        <v>12</v>
      </c>
      <c r="D39" s="13"/>
      <c r="E39" s="14">
        <f>SUM(E34:E38)</f>
        <v>0</v>
      </c>
      <c r="F39" s="2"/>
      <c r="G39" s="2"/>
      <c r="H39" s="2"/>
      <c r="I39" s="2"/>
      <c r="J39" s="2"/>
      <c r="K39" s="16"/>
      <c r="L39" s="17"/>
      <c r="M39" s="20" t="s">
        <v>12</v>
      </c>
      <c r="N39" s="13"/>
      <c r="O39" s="14">
        <f>SUM(O34:O38)</f>
        <v>0</v>
      </c>
      <c r="P39" s="2"/>
      <c r="Q39" s="4"/>
      <c r="R39" s="2"/>
      <c r="S39" s="2"/>
      <c r="T39" s="2"/>
      <c r="U39" s="2"/>
      <c r="V39" s="2"/>
    </row>
    <row r="40" spans="1:22" x14ac:dyDescent="0.25">
      <c r="A40" s="16"/>
      <c r="B40" s="17"/>
      <c r="C40" s="81" t="s">
        <v>14</v>
      </c>
      <c r="D40" s="81"/>
      <c r="E40" s="52">
        <v>0</v>
      </c>
      <c r="F40" s="2"/>
      <c r="G40" s="2"/>
      <c r="H40" s="2"/>
      <c r="I40" s="2"/>
      <c r="J40" s="2"/>
      <c r="K40" s="16"/>
      <c r="L40" s="17"/>
      <c r="M40" s="81" t="s">
        <v>14</v>
      </c>
      <c r="N40" s="81"/>
      <c r="O40" s="52">
        <v>0</v>
      </c>
      <c r="P40" s="2"/>
      <c r="Q40" s="4"/>
      <c r="R40" s="2"/>
      <c r="S40" s="2"/>
      <c r="T40" s="2"/>
      <c r="U40" s="2"/>
      <c r="V40" s="2"/>
    </row>
    <row r="41" spans="1:22" x14ac:dyDescent="0.25">
      <c r="A41" s="16"/>
      <c r="B41" s="17"/>
      <c r="C41" s="100" t="s">
        <v>15</v>
      </c>
      <c r="D41" s="100"/>
      <c r="E41" s="54">
        <f>E39*E40+E39</f>
        <v>0</v>
      </c>
      <c r="F41" s="2"/>
      <c r="G41" s="2"/>
      <c r="H41" s="2"/>
      <c r="I41" s="2"/>
      <c r="J41" s="2"/>
      <c r="K41" s="16"/>
      <c r="L41" s="17"/>
      <c r="M41" s="100" t="s">
        <v>15</v>
      </c>
      <c r="N41" s="100"/>
      <c r="O41" s="54">
        <f>O39*O40+O39</f>
        <v>0</v>
      </c>
      <c r="P41" s="2"/>
      <c r="Q41" s="4"/>
      <c r="R41" s="2"/>
      <c r="S41" s="2"/>
      <c r="T41" s="2"/>
      <c r="U41" s="2"/>
      <c r="V41" s="2"/>
    </row>
    <row r="42" spans="1:22" x14ac:dyDescent="0.25">
      <c r="A42" s="66" t="s">
        <v>16</v>
      </c>
      <c r="B42" s="67"/>
      <c r="C42" s="20" t="s">
        <v>17</v>
      </c>
      <c r="D42" s="51">
        <v>0</v>
      </c>
      <c r="E42" s="14">
        <f>E41*D42</f>
        <v>0</v>
      </c>
      <c r="F42" s="2"/>
      <c r="G42" s="2"/>
      <c r="H42" s="2"/>
      <c r="I42" s="2"/>
      <c r="J42" s="2"/>
      <c r="K42" s="66" t="s">
        <v>16</v>
      </c>
      <c r="L42" s="67"/>
      <c r="M42" s="20" t="s">
        <v>17</v>
      </c>
      <c r="N42" s="51">
        <v>0</v>
      </c>
      <c r="O42" s="14">
        <f>O41*N42</f>
        <v>0</v>
      </c>
      <c r="P42" s="2"/>
      <c r="Q42" s="4"/>
      <c r="R42" s="2"/>
      <c r="S42" s="2"/>
      <c r="T42" s="2"/>
      <c r="U42" s="2"/>
      <c r="V42" s="2"/>
    </row>
    <row r="43" spans="1:22" x14ac:dyDescent="0.25">
      <c r="A43" s="66"/>
      <c r="B43" s="67"/>
      <c r="C43" s="20" t="s">
        <v>18</v>
      </c>
      <c r="D43" s="51">
        <v>0</v>
      </c>
      <c r="E43" s="14">
        <f>E41*D43</f>
        <v>0</v>
      </c>
      <c r="F43" s="2"/>
      <c r="G43" s="2"/>
      <c r="H43" s="2"/>
      <c r="I43" s="2"/>
      <c r="J43" s="2"/>
      <c r="K43" s="66"/>
      <c r="L43" s="67"/>
      <c r="M43" s="20" t="s">
        <v>18</v>
      </c>
      <c r="N43" s="51">
        <v>0</v>
      </c>
      <c r="O43" s="14">
        <f>O41*N43</f>
        <v>0</v>
      </c>
      <c r="P43" s="2"/>
      <c r="Q43" s="4"/>
      <c r="R43" s="2"/>
      <c r="S43" s="2"/>
      <c r="T43" s="2"/>
      <c r="U43" s="2"/>
      <c r="V43" s="2"/>
    </row>
    <row r="44" spans="1:22" x14ac:dyDescent="0.25">
      <c r="A44" s="66"/>
      <c r="B44" s="67"/>
      <c r="C44" s="20" t="s">
        <v>19</v>
      </c>
      <c r="D44" s="51">
        <v>0</v>
      </c>
      <c r="E44" s="14">
        <f>E41*D44</f>
        <v>0</v>
      </c>
      <c r="F44" s="2"/>
      <c r="G44" s="2"/>
      <c r="H44" s="2"/>
      <c r="I44" s="2"/>
      <c r="J44" s="2"/>
      <c r="K44" s="66"/>
      <c r="L44" s="67"/>
      <c r="M44" s="20" t="s">
        <v>19</v>
      </c>
      <c r="N44" s="51">
        <v>0</v>
      </c>
      <c r="O44" s="14">
        <f>O41*N44</f>
        <v>0</v>
      </c>
      <c r="P44" s="2"/>
      <c r="Q44" s="4"/>
      <c r="R44" s="2"/>
      <c r="S44" s="2"/>
      <c r="T44" s="2"/>
      <c r="U44" s="2"/>
      <c r="V44" s="2"/>
    </row>
    <row r="45" spans="1:22" x14ac:dyDescent="0.25">
      <c r="A45" s="73" t="s">
        <v>21</v>
      </c>
      <c r="B45" s="74"/>
      <c r="C45" s="60" t="s">
        <v>22</v>
      </c>
      <c r="D45" s="51">
        <v>0</v>
      </c>
      <c r="E45" s="64">
        <f>D45*E41</f>
        <v>0</v>
      </c>
      <c r="F45" s="2"/>
      <c r="G45" s="2"/>
      <c r="H45" s="2"/>
      <c r="I45" s="2"/>
      <c r="J45" s="2"/>
      <c r="K45" s="73" t="s">
        <v>21</v>
      </c>
      <c r="L45" s="74"/>
      <c r="M45" s="60" t="s">
        <v>22</v>
      </c>
      <c r="N45" s="51">
        <v>0</v>
      </c>
      <c r="O45" s="64">
        <f>N45*O41</f>
        <v>0</v>
      </c>
      <c r="P45" s="2"/>
      <c r="Q45" s="4"/>
      <c r="R45" s="2"/>
      <c r="S45" s="2"/>
      <c r="T45" s="2"/>
      <c r="U45" s="2"/>
      <c r="V45" s="2"/>
    </row>
    <row r="46" spans="1:22" x14ac:dyDescent="0.25">
      <c r="A46" s="73"/>
      <c r="B46" s="74"/>
      <c r="C46" s="60" t="s">
        <v>23</v>
      </c>
      <c r="D46" s="51">
        <v>0</v>
      </c>
      <c r="E46" s="64">
        <f>D46*E41</f>
        <v>0</v>
      </c>
      <c r="F46" s="2"/>
      <c r="G46" s="2"/>
      <c r="H46" s="2"/>
      <c r="I46" s="2"/>
      <c r="J46" s="2"/>
      <c r="K46" s="73"/>
      <c r="L46" s="74"/>
      <c r="M46" s="60" t="s">
        <v>23</v>
      </c>
      <c r="N46" s="51">
        <v>0</v>
      </c>
      <c r="O46" s="64">
        <f>N46*O41</f>
        <v>0</v>
      </c>
      <c r="P46" s="2"/>
      <c r="Q46" s="4"/>
      <c r="R46" s="2"/>
      <c r="S46" s="2"/>
      <c r="T46" s="2"/>
      <c r="U46" s="2"/>
      <c r="V46" s="2"/>
    </row>
    <row r="47" spans="1:22" x14ac:dyDescent="0.25">
      <c r="A47" s="68" t="s">
        <v>42</v>
      </c>
      <c r="B47" s="69"/>
      <c r="C47" s="1"/>
      <c r="D47" s="1"/>
      <c r="E47" s="15">
        <f>SUM(E39,E42:E46)</f>
        <v>0</v>
      </c>
      <c r="F47" s="2"/>
      <c r="G47" s="2"/>
      <c r="H47" s="2"/>
      <c r="I47" s="2"/>
      <c r="J47" s="2"/>
      <c r="K47" s="68" t="s">
        <v>42</v>
      </c>
      <c r="L47" s="69"/>
      <c r="M47" s="1"/>
      <c r="N47" s="1"/>
      <c r="O47" s="15">
        <f>SUM(O39,O42:O46)</f>
        <v>0</v>
      </c>
      <c r="P47" s="2"/>
      <c r="Q47" s="4"/>
      <c r="R47" s="2"/>
      <c r="S47" s="2"/>
      <c r="T47" s="2"/>
      <c r="U47" s="2"/>
      <c r="V47" s="2"/>
    </row>
    <row r="48" spans="1:22" x14ac:dyDescent="0.25">
      <c r="A48" s="16"/>
      <c r="B48" s="17"/>
      <c r="C48" s="17"/>
      <c r="D48" s="21" t="s">
        <v>25</v>
      </c>
      <c r="E48" s="22">
        <f>E41-E47</f>
        <v>0</v>
      </c>
      <c r="F48" s="2"/>
      <c r="G48" s="2"/>
      <c r="H48" s="2"/>
      <c r="I48" s="2"/>
      <c r="J48" s="2"/>
      <c r="K48" s="16"/>
      <c r="L48" s="17"/>
      <c r="M48" s="17"/>
      <c r="N48" s="21" t="s">
        <v>25</v>
      </c>
      <c r="O48" s="22">
        <f>O41-O47</f>
        <v>0</v>
      </c>
      <c r="P48" s="2"/>
      <c r="Q48" s="4"/>
      <c r="R48" s="2"/>
      <c r="S48" s="2"/>
      <c r="T48" s="2"/>
      <c r="U48" s="2"/>
      <c r="V48" s="2"/>
    </row>
    <row r="49" spans="1:22" ht="15.75" thickBot="1" x14ac:dyDescent="0.3">
      <c r="A49" s="18"/>
      <c r="B49" s="19"/>
      <c r="C49" s="19"/>
      <c r="D49" s="23" t="s">
        <v>24</v>
      </c>
      <c r="E49" s="24" t="e">
        <f>E48/E41</f>
        <v>#DIV/0!</v>
      </c>
      <c r="F49" s="2"/>
      <c r="G49" s="2"/>
      <c r="H49" s="2"/>
      <c r="I49" s="2"/>
      <c r="J49" s="2"/>
      <c r="K49" s="18"/>
      <c r="L49" s="19"/>
      <c r="M49" s="19"/>
      <c r="N49" s="23" t="s">
        <v>24</v>
      </c>
      <c r="O49" s="24" t="e">
        <f>O48/O41</f>
        <v>#DIV/0!</v>
      </c>
      <c r="P49" s="2"/>
      <c r="Q49" s="4"/>
      <c r="R49" s="2"/>
      <c r="S49" s="2"/>
      <c r="T49" s="2"/>
      <c r="U49" s="2"/>
      <c r="V49" s="2"/>
    </row>
    <row r="50" spans="1:2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4"/>
      <c r="R50" s="2"/>
      <c r="S50" s="2"/>
      <c r="T50" s="2"/>
      <c r="U50" s="2"/>
      <c r="V50" s="2"/>
    </row>
    <row r="51" spans="1:2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4"/>
      <c r="R51" s="2"/>
      <c r="S51" s="2"/>
      <c r="T51" s="2"/>
      <c r="U51" s="2"/>
      <c r="V51" s="2"/>
    </row>
    <row r="52" spans="1:2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4"/>
      <c r="R52" s="2"/>
      <c r="S52" s="2"/>
      <c r="T52" s="2"/>
      <c r="U52" s="2"/>
      <c r="V52" s="2"/>
    </row>
    <row r="53" spans="1:2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4"/>
      <c r="R53" s="2"/>
      <c r="S53" s="2"/>
      <c r="T53" s="2"/>
      <c r="U53" s="2"/>
      <c r="V53" s="2"/>
    </row>
    <row r="54" spans="1:2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4"/>
      <c r="R54" s="2"/>
      <c r="S54" s="2"/>
      <c r="T54" s="2"/>
      <c r="U54" s="2"/>
      <c r="V54" s="2"/>
    </row>
    <row r="55" spans="1:22" ht="15.75" thickBo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4"/>
      <c r="R55" s="2"/>
      <c r="S55" s="2"/>
      <c r="T55" s="2"/>
      <c r="U55" s="2"/>
      <c r="V55" s="2"/>
    </row>
    <row r="56" spans="1:22" ht="15.75" x14ac:dyDescent="0.25">
      <c r="A56" s="70" t="s">
        <v>43</v>
      </c>
      <c r="B56" s="71"/>
      <c r="C56" s="71"/>
      <c r="D56" s="71"/>
      <c r="E56" s="72"/>
      <c r="F56" s="2"/>
      <c r="G56" s="2"/>
      <c r="H56" s="2"/>
      <c r="I56" s="2"/>
      <c r="J56" s="2"/>
      <c r="K56" s="70" t="s">
        <v>43</v>
      </c>
      <c r="L56" s="71"/>
      <c r="M56" s="71"/>
      <c r="N56" s="71"/>
      <c r="O56" s="72"/>
      <c r="P56" s="2"/>
      <c r="Q56" s="4"/>
      <c r="R56" s="2"/>
      <c r="S56" s="2"/>
      <c r="T56" s="2"/>
      <c r="U56" s="2"/>
      <c r="V56" s="2"/>
    </row>
    <row r="57" spans="1:22" ht="15" customHeight="1" x14ac:dyDescent="0.25">
      <c r="A57" s="93" t="s">
        <v>40</v>
      </c>
      <c r="B57" s="94"/>
      <c r="C57" s="94"/>
      <c r="D57" s="94"/>
      <c r="E57" s="95"/>
      <c r="F57" s="2"/>
      <c r="G57" s="2"/>
      <c r="H57" s="2"/>
      <c r="I57" s="2"/>
      <c r="J57" s="2"/>
      <c r="K57" s="93" t="s">
        <v>41</v>
      </c>
      <c r="L57" s="94"/>
      <c r="M57" s="94"/>
      <c r="N57" s="94"/>
      <c r="O57" s="95"/>
      <c r="P57" s="2"/>
      <c r="Q57" s="4"/>
      <c r="R57" s="2"/>
      <c r="S57" s="2"/>
      <c r="T57" s="2"/>
      <c r="U57" s="2"/>
      <c r="V57" s="2"/>
    </row>
    <row r="58" spans="1:22" ht="15" customHeight="1" x14ac:dyDescent="0.25">
      <c r="A58" s="96"/>
      <c r="B58" s="94"/>
      <c r="C58" s="94"/>
      <c r="D58" s="94"/>
      <c r="E58" s="95"/>
      <c r="F58" s="2"/>
      <c r="G58" s="2"/>
      <c r="H58" s="2"/>
      <c r="I58" s="2"/>
      <c r="J58" s="2"/>
      <c r="K58" s="96"/>
      <c r="L58" s="94"/>
      <c r="M58" s="94"/>
      <c r="N58" s="94"/>
      <c r="O58" s="95"/>
      <c r="P58" s="2"/>
      <c r="Q58" s="4"/>
      <c r="R58" s="2"/>
      <c r="S58" s="2"/>
      <c r="T58" s="2"/>
      <c r="U58" s="2"/>
      <c r="V58" s="2"/>
    </row>
    <row r="59" spans="1:22" ht="15" customHeight="1" x14ac:dyDescent="0.25">
      <c r="A59" s="97"/>
      <c r="B59" s="98"/>
      <c r="C59" s="98"/>
      <c r="D59" s="98"/>
      <c r="E59" s="99"/>
      <c r="F59" s="2"/>
      <c r="G59" s="2"/>
      <c r="H59" s="2"/>
      <c r="I59" s="2"/>
      <c r="J59" s="2"/>
      <c r="K59" s="97"/>
      <c r="L59" s="98"/>
      <c r="M59" s="98"/>
      <c r="N59" s="98"/>
      <c r="O59" s="99"/>
      <c r="P59" s="2"/>
      <c r="Q59" s="4"/>
      <c r="R59" s="2"/>
      <c r="S59" s="2"/>
      <c r="T59" s="2"/>
      <c r="U59" s="2"/>
      <c r="V59" s="2"/>
    </row>
    <row r="60" spans="1:22" ht="15.75" x14ac:dyDescent="0.25">
      <c r="A60" s="9" t="s">
        <v>13</v>
      </c>
      <c r="B60" s="10" t="s">
        <v>6</v>
      </c>
      <c r="C60" s="11" t="s">
        <v>0</v>
      </c>
      <c r="D60" s="10" t="s">
        <v>1</v>
      </c>
      <c r="E60" s="12" t="s">
        <v>2</v>
      </c>
      <c r="F60" s="2"/>
      <c r="G60" s="2"/>
      <c r="H60" s="2"/>
      <c r="I60" s="2"/>
      <c r="J60" s="2"/>
      <c r="K60" s="9" t="s">
        <v>13</v>
      </c>
      <c r="L60" s="10" t="s">
        <v>6</v>
      </c>
      <c r="M60" s="11" t="s">
        <v>0</v>
      </c>
      <c r="N60" s="10" t="s">
        <v>1</v>
      </c>
      <c r="O60" s="12" t="s">
        <v>2</v>
      </c>
      <c r="P60" s="2"/>
      <c r="Q60" s="4"/>
      <c r="R60" s="2"/>
      <c r="S60" s="2"/>
      <c r="T60" s="2"/>
      <c r="U60" s="2"/>
      <c r="V60" s="2"/>
    </row>
    <row r="61" spans="1:22" x14ac:dyDescent="0.25">
      <c r="A61" s="49"/>
      <c r="B61" s="50"/>
      <c r="C61" s="50"/>
      <c r="D61" s="50"/>
      <c r="E61" s="8">
        <f>C61*D61</f>
        <v>0</v>
      </c>
      <c r="F61" s="2"/>
      <c r="G61" s="2"/>
      <c r="H61" s="2"/>
      <c r="I61" s="2"/>
      <c r="J61" s="2"/>
      <c r="K61" s="49"/>
      <c r="L61" s="50"/>
      <c r="M61" s="50"/>
      <c r="N61" s="50"/>
      <c r="O61" s="8">
        <f>M61*N61</f>
        <v>0</v>
      </c>
      <c r="P61" s="2"/>
      <c r="Q61" s="4"/>
      <c r="R61" s="2"/>
      <c r="S61" s="2"/>
      <c r="T61" s="2"/>
      <c r="U61" s="2"/>
      <c r="V61" s="2"/>
    </row>
    <row r="62" spans="1:22" x14ac:dyDescent="0.25">
      <c r="A62" s="49"/>
      <c r="B62" s="50"/>
      <c r="C62" s="50"/>
      <c r="D62" s="50"/>
      <c r="E62" s="8">
        <f t="shared" ref="E62:E65" si="4">C62*D62</f>
        <v>0</v>
      </c>
      <c r="F62" s="2"/>
      <c r="G62" s="2"/>
      <c r="H62" s="2"/>
      <c r="I62" s="2"/>
      <c r="J62" s="2"/>
      <c r="K62" s="49"/>
      <c r="L62" s="50"/>
      <c r="M62" s="50"/>
      <c r="N62" s="50"/>
      <c r="O62" s="8">
        <f t="shared" ref="O62:O65" si="5">M62*N62</f>
        <v>0</v>
      </c>
      <c r="P62" s="2"/>
      <c r="Q62" s="4"/>
      <c r="R62" s="2"/>
      <c r="S62" s="2"/>
      <c r="T62" s="2"/>
      <c r="U62" s="2"/>
      <c r="V62" s="2"/>
    </row>
    <row r="63" spans="1:22" x14ac:dyDescent="0.25">
      <c r="A63" s="49"/>
      <c r="B63" s="50"/>
      <c r="C63" s="50"/>
      <c r="D63" s="50"/>
      <c r="E63" s="8">
        <f t="shared" si="4"/>
        <v>0</v>
      </c>
      <c r="F63" s="2"/>
      <c r="G63" s="2"/>
      <c r="H63" s="2"/>
      <c r="I63" s="2"/>
      <c r="J63" s="2"/>
      <c r="K63" s="49"/>
      <c r="L63" s="50"/>
      <c r="M63" s="50"/>
      <c r="N63" s="50"/>
      <c r="O63" s="8">
        <f t="shared" si="5"/>
        <v>0</v>
      </c>
      <c r="P63" s="2"/>
      <c r="Q63" s="4"/>
      <c r="R63" s="2"/>
      <c r="S63" s="2"/>
      <c r="T63" s="2"/>
      <c r="U63" s="2"/>
      <c r="V63" s="2"/>
    </row>
    <row r="64" spans="1:22" x14ac:dyDescent="0.25">
      <c r="A64" s="49"/>
      <c r="B64" s="50"/>
      <c r="C64" s="50"/>
      <c r="D64" s="50"/>
      <c r="E64" s="8">
        <f t="shared" si="4"/>
        <v>0</v>
      </c>
      <c r="F64" s="2"/>
      <c r="G64" s="2"/>
      <c r="H64" s="2"/>
      <c r="I64" s="2"/>
      <c r="J64" s="2"/>
      <c r="K64" s="49"/>
      <c r="L64" s="50"/>
      <c r="M64" s="50"/>
      <c r="N64" s="50"/>
      <c r="O64" s="8">
        <f t="shared" si="5"/>
        <v>0</v>
      </c>
      <c r="P64" s="2"/>
      <c r="Q64" s="4"/>
      <c r="R64" s="2"/>
      <c r="S64" s="2"/>
      <c r="T64" s="2"/>
      <c r="U64" s="2"/>
      <c r="V64" s="2"/>
    </row>
    <row r="65" spans="1:22" x14ac:dyDescent="0.25">
      <c r="A65" s="49"/>
      <c r="B65" s="50"/>
      <c r="C65" s="50"/>
      <c r="D65" s="50"/>
      <c r="E65" s="8">
        <f t="shared" si="4"/>
        <v>0</v>
      </c>
      <c r="F65" s="2"/>
      <c r="G65" s="2"/>
      <c r="H65" s="2"/>
      <c r="I65" s="2"/>
      <c r="J65" s="2"/>
      <c r="K65" s="49"/>
      <c r="L65" s="50"/>
      <c r="M65" s="50"/>
      <c r="N65" s="50"/>
      <c r="O65" s="8">
        <f t="shared" si="5"/>
        <v>0</v>
      </c>
      <c r="P65" s="2"/>
      <c r="Q65" s="4"/>
      <c r="R65" s="2"/>
      <c r="S65" s="2"/>
      <c r="T65" s="2"/>
      <c r="U65" s="2"/>
      <c r="V65" s="2"/>
    </row>
    <row r="66" spans="1:22" x14ac:dyDescent="0.25">
      <c r="A66" s="16"/>
      <c r="B66" s="17"/>
      <c r="C66" s="20" t="s">
        <v>12</v>
      </c>
      <c r="D66" s="13"/>
      <c r="E66" s="14">
        <f>SUM(E61:E65)</f>
        <v>0</v>
      </c>
      <c r="F66" s="2"/>
      <c r="G66" s="2"/>
      <c r="H66" s="2"/>
      <c r="I66" s="2"/>
      <c r="J66" s="2"/>
      <c r="K66" s="16"/>
      <c r="L66" s="17"/>
      <c r="M66" s="20" t="s">
        <v>12</v>
      </c>
      <c r="N66" s="13"/>
      <c r="O66" s="14">
        <f>SUM(O61:O65)</f>
        <v>0</v>
      </c>
      <c r="P66" s="2"/>
      <c r="Q66" s="4"/>
      <c r="R66" s="2"/>
      <c r="S66" s="2"/>
      <c r="T66" s="2"/>
      <c r="U66" s="2"/>
      <c r="V66" s="2"/>
    </row>
    <row r="67" spans="1:22" x14ac:dyDescent="0.25">
      <c r="A67" s="16"/>
      <c r="B67" s="17"/>
      <c r="C67" s="81" t="s">
        <v>14</v>
      </c>
      <c r="D67" s="81"/>
      <c r="E67" s="52">
        <v>0</v>
      </c>
      <c r="F67" s="2"/>
      <c r="G67" s="2"/>
      <c r="H67" s="2"/>
      <c r="I67" s="2"/>
      <c r="J67" s="2"/>
      <c r="K67" s="16"/>
      <c r="L67" s="17"/>
      <c r="M67" s="81" t="s">
        <v>14</v>
      </c>
      <c r="N67" s="81"/>
      <c r="O67" s="52">
        <v>0</v>
      </c>
      <c r="P67" s="2"/>
      <c r="Q67" s="4"/>
      <c r="R67" s="2"/>
      <c r="S67" s="2"/>
      <c r="T67" s="2"/>
      <c r="U67" s="2"/>
      <c r="V67" s="2"/>
    </row>
    <row r="68" spans="1:22" x14ac:dyDescent="0.25">
      <c r="A68" s="16"/>
      <c r="B68" s="17"/>
      <c r="C68" s="100" t="s">
        <v>15</v>
      </c>
      <c r="D68" s="100"/>
      <c r="E68" s="54">
        <f>E66*E67+E66</f>
        <v>0</v>
      </c>
      <c r="F68" s="2"/>
      <c r="G68" s="2"/>
      <c r="H68" s="2"/>
      <c r="I68" s="2"/>
      <c r="J68" s="2"/>
      <c r="K68" s="16"/>
      <c r="L68" s="17"/>
      <c r="M68" s="100" t="s">
        <v>15</v>
      </c>
      <c r="N68" s="100"/>
      <c r="O68" s="54">
        <f>O66*O67+O66</f>
        <v>0</v>
      </c>
      <c r="P68" s="2"/>
      <c r="Q68" s="4"/>
      <c r="R68" s="2"/>
      <c r="S68" s="2"/>
      <c r="T68" s="2"/>
      <c r="U68" s="2"/>
      <c r="V68" s="2"/>
    </row>
    <row r="69" spans="1:22" x14ac:dyDescent="0.25">
      <c r="A69" s="66" t="s">
        <v>16</v>
      </c>
      <c r="B69" s="67"/>
      <c r="C69" s="20" t="s">
        <v>17</v>
      </c>
      <c r="D69" s="51">
        <v>0</v>
      </c>
      <c r="E69" s="14">
        <f>E68*D69</f>
        <v>0</v>
      </c>
      <c r="F69" s="2"/>
      <c r="G69" s="2"/>
      <c r="H69" s="2"/>
      <c r="I69" s="2"/>
      <c r="J69" s="2"/>
      <c r="K69" s="66" t="s">
        <v>16</v>
      </c>
      <c r="L69" s="67"/>
      <c r="M69" s="20" t="s">
        <v>17</v>
      </c>
      <c r="N69" s="51">
        <v>0</v>
      </c>
      <c r="O69" s="14">
        <f>O68*N69</f>
        <v>0</v>
      </c>
      <c r="P69" s="2"/>
      <c r="Q69" s="4"/>
      <c r="R69" s="2"/>
      <c r="S69" s="2"/>
      <c r="T69" s="2"/>
      <c r="U69" s="2"/>
      <c r="V69" s="2"/>
    </row>
    <row r="70" spans="1:22" x14ac:dyDescent="0.25">
      <c r="A70" s="66"/>
      <c r="B70" s="67"/>
      <c r="C70" s="20" t="s">
        <v>18</v>
      </c>
      <c r="D70" s="51">
        <v>0</v>
      </c>
      <c r="E70" s="14">
        <f>E68*D70</f>
        <v>0</v>
      </c>
      <c r="F70" s="2"/>
      <c r="G70" s="2"/>
      <c r="H70" s="2"/>
      <c r="I70" s="2"/>
      <c r="J70" s="2"/>
      <c r="K70" s="66"/>
      <c r="L70" s="67"/>
      <c r="M70" s="20" t="s">
        <v>18</v>
      </c>
      <c r="N70" s="51">
        <v>0</v>
      </c>
      <c r="O70" s="14">
        <f>O68*N70</f>
        <v>0</v>
      </c>
      <c r="P70" s="2"/>
      <c r="Q70" s="4"/>
      <c r="R70" s="2"/>
      <c r="S70" s="2"/>
      <c r="T70" s="2"/>
      <c r="U70" s="2"/>
      <c r="V70" s="2"/>
    </row>
    <row r="71" spans="1:22" x14ac:dyDescent="0.25">
      <c r="A71" s="66"/>
      <c r="B71" s="67"/>
      <c r="C71" s="20" t="s">
        <v>19</v>
      </c>
      <c r="D71" s="51">
        <v>0</v>
      </c>
      <c r="E71" s="14">
        <f>E68*D71</f>
        <v>0</v>
      </c>
      <c r="F71" s="2"/>
      <c r="G71" s="2"/>
      <c r="H71" s="2"/>
      <c r="I71" s="2"/>
      <c r="J71" s="2"/>
      <c r="K71" s="66"/>
      <c r="L71" s="67"/>
      <c r="M71" s="20" t="s">
        <v>19</v>
      </c>
      <c r="N71" s="51">
        <v>0</v>
      </c>
      <c r="O71" s="14">
        <f>O68*N71</f>
        <v>0</v>
      </c>
      <c r="P71" s="2"/>
      <c r="Q71" s="4"/>
      <c r="R71" s="2"/>
      <c r="S71" s="2"/>
      <c r="T71" s="2"/>
      <c r="U71" s="2"/>
      <c r="V71" s="2"/>
    </row>
    <row r="72" spans="1:22" x14ac:dyDescent="0.25">
      <c r="A72" s="73" t="s">
        <v>21</v>
      </c>
      <c r="B72" s="74"/>
      <c r="C72" s="60" t="s">
        <v>22</v>
      </c>
      <c r="D72" s="51">
        <v>0</v>
      </c>
      <c r="E72" s="64">
        <f>D72*E68</f>
        <v>0</v>
      </c>
      <c r="F72" s="2"/>
      <c r="G72" s="2"/>
      <c r="H72" s="2"/>
      <c r="I72" s="2"/>
      <c r="J72" s="2"/>
      <c r="K72" s="73" t="s">
        <v>21</v>
      </c>
      <c r="L72" s="74"/>
      <c r="M72" s="60" t="s">
        <v>22</v>
      </c>
      <c r="N72" s="51">
        <v>0</v>
      </c>
      <c r="O72" s="64">
        <f>N72*O68</f>
        <v>0</v>
      </c>
      <c r="P72" s="2"/>
      <c r="Q72" s="4"/>
      <c r="R72" s="2"/>
      <c r="S72" s="2"/>
      <c r="T72" s="2"/>
      <c r="U72" s="2"/>
      <c r="V72" s="2"/>
    </row>
    <row r="73" spans="1:22" x14ac:dyDescent="0.25">
      <c r="A73" s="73"/>
      <c r="B73" s="74"/>
      <c r="C73" s="60" t="s">
        <v>23</v>
      </c>
      <c r="D73" s="51">
        <v>0</v>
      </c>
      <c r="E73" s="64">
        <f>D73*E68</f>
        <v>0</v>
      </c>
      <c r="F73" s="2"/>
      <c r="G73" s="2"/>
      <c r="H73" s="2"/>
      <c r="I73" s="2"/>
      <c r="J73" s="2"/>
      <c r="K73" s="73"/>
      <c r="L73" s="74"/>
      <c r="M73" s="60" t="s">
        <v>23</v>
      </c>
      <c r="N73" s="51">
        <v>0</v>
      </c>
      <c r="O73" s="64">
        <f>N73*O68</f>
        <v>0</v>
      </c>
      <c r="P73" s="2"/>
      <c r="Q73" s="4"/>
      <c r="R73" s="2"/>
      <c r="S73" s="2"/>
      <c r="T73" s="2"/>
      <c r="U73" s="2"/>
      <c r="V73" s="2"/>
    </row>
    <row r="74" spans="1:22" x14ac:dyDescent="0.25">
      <c r="A74" s="68" t="s">
        <v>42</v>
      </c>
      <c r="B74" s="69"/>
      <c r="C74" s="1"/>
      <c r="D74" s="1"/>
      <c r="E74" s="15">
        <f>SUM(E66,E69:E73)</f>
        <v>0</v>
      </c>
      <c r="F74" s="2"/>
      <c r="G74" s="2"/>
      <c r="H74" s="2"/>
      <c r="I74" s="2"/>
      <c r="J74" s="2"/>
      <c r="K74" s="68" t="s">
        <v>42</v>
      </c>
      <c r="L74" s="69"/>
      <c r="M74" s="1"/>
      <c r="N74" s="1"/>
      <c r="O74" s="15">
        <f>SUM(O66,O69:O73)</f>
        <v>0</v>
      </c>
      <c r="P74" s="2"/>
      <c r="Q74" s="4"/>
      <c r="R74" s="2"/>
      <c r="S74" s="2"/>
      <c r="T74" s="2"/>
      <c r="U74" s="2"/>
      <c r="V74" s="2"/>
    </row>
    <row r="75" spans="1:22" x14ac:dyDescent="0.25">
      <c r="A75" s="16"/>
      <c r="B75" s="17"/>
      <c r="C75" s="17"/>
      <c r="D75" s="21" t="s">
        <v>25</v>
      </c>
      <c r="E75" s="22">
        <f>E68-E74</f>
        <v>0</v>
      </c>
      <c r="F75" s="2"/>
      <c r="G75" s="2"/>
      <c r="H75" s="2"/>
      <c r="I75" s="2"/>
      <c r="J75" s="2"/>
      <c r="K75" s="16"/>
      <c r="L75" s="17"/>
      <c r="M75" s="17"/>
      <c r="N75" s="21" t="s">
        <v>25</v>
      </c>
      <c r="O75" s="22">
        <f>O68-O74</f>
        <v>0</v>
      </c>
      <c r="P75" s="2"/>
      <c r="Q75" s="4"/>
      <c r="R75" s="2"/>
      <c r="S75" s="2"/>
      <c r="T75" s="2"/>
      <c r="U75" s="2"/>
      <c r="V75" s="2"/>
    </row>
    <row r="76" spans="1:22" ht="15.75" thickBot="1" x14ac:dyDescent="0.3">
      <c r="A76" s="18"/>
      <c r="B76" s="19"/>
      <c r="C76" s="19"/>
      <c r="D76" s="23" t="s">
        <v>24</v>
      </c>
      <c r="E76" s="24" t="e">
        <f>E75/E68</f>
        <v>#DIV/0!</v>
      </c>
      <c r="F76" s="2"/>
      <c r="G76" s="2"/>
      <c r="H76" s="2"/>
      <c r="I76" s="2"/>
      <c r="J76" s="2"/>
      <c r="K76" s="18"/>
      <c r="L76" s="19"/>
      <c r="M76" s="19"/>
      <c r="N76" s="23" t="s">
        <v>24</v>
      </c>
      <c r="O76" s="24" t="e">
        <f>O75/O68</f>
        <v>#DIV/0!</v>
      </c>
      <c r="P76" s="2"/>
      <c r="Q76" s="4"/>
      <c r="R76" s="2"/>
      <c r="S76" s="2"/>
      <c r="T76" s="2"/>
      <c r="U76" s="2"/>
      <c r="V76" s="2"/>
    </row>
    <row r="77" spans="1:2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4"/>
      <c r="R77" s="2"/>
      <c r="S77" s="2"/>
      <c r="T77" s="2"/>
      <c r="U77" s="2"/>
      <c r="V77" s="2"/>
    </row>
    <row r="78" spans="1:2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4"/>
      <c r="R78" s="2"/>
      <c r="S78" s="2"/>
      <c r="T78" s="2"/>
      <c r="U78" s="2"/>
      <c r="V78" s="2"/>
    </row>
    <row r="79" spans="1:2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4"/>
      <c r="R79" s="2"/>
      <c r="S79" s="2"/>
      <c r="T79" s="2"/>
      <c r="U79" s="2"/>
      <c r="V79" s="2"/>
    </row>
    <row r="80" spans="1:2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4"/>
      <c r="R80" s="2"/>
      <c r="S80" s="2"/>
      <c r="T80" s="2"/>
      <c r="U80" s="2"/>
      <c r="V80" s="2"/>
    </row>
    <row r="81" spans="1:2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4"/>
      <c r="R81" s="2"/>
      <c r="S81" s="2"/>
      <c r="T81" s="2"/>
      <c r="U81" s="2"/>
      <c r="V81" s="2"/>
    </row>
    <row r="82" spans="1:2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4"/>
      <c r="R82" s="2"/>
      <c r="S82" s="2"/>
      <c r="T82" s="2"/>
      <c r="U82" s="2"/>
      <c r="V82" s="2"/>
    </row>
    <row r="83" spans="1:2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4"/>
      <c r="R83" s="2"/>
      <c r="S83" s="2"/>
      <c r="T83" s="2"/>
      <c r="U83" s="2"/>
      <c r="V83" s="2"/>
    </row>
    <row r="84" spans="1:2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4"/>
      <c r="R84" s="2"/>
      <c r="S84" s="2"/>
      <c r="T84" s="2"/>
      <c r="U84" s="2"/>
      <c r="V84" s="2"/>
    </row>
    <row r="85" spans="1:2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4"/>
      <c r="R85" s="2"/>
      <c r="S85" s="2"/>
      <c r="T85" s="2"/>
      <c r="U85" s="2"/>
      <c r="V85" s="2"/>
    </row>
    <row r="86" spans="1:2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4"/>
      <c r="R86" s="2"/>
      <c r="S86" s="2"/>
      <c r="T86" s="2"/>
      <c r="U86" s="2"/>
      <c r="V86" s="2"/>
    </row>
    <row r="87" spans="1:2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4"/>
      <c r="R87" s="2"/>
      <c r="S87" s="2"/>
      <c r="T87" s="2"/>
      <c r="U87" s="2"/>
      <c r="V87" s="2"/>
    </row>
    <row r="88" spans="1:2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4"/>
      <c r="R88" s="2"/>
      <c r="S88" s="2"/>
      <c r="T88" s="2"/>
      <c r="U88" s="2"/>
      <c r="V88" s="2"/>
    </row>
    <row r="89" spans="1:2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4"/>
      <c r="R89" s="2"/>
      <c r="S89" s="2"/>
      <c r="T89" s="2"/>
      <c r="U89" s="2"/>
      <c r="V89" s="2"/>
    </row>
    <row r="90" spans="1:2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4"/>
      <c r="R90" s="2"/>
      <c r="S90" s="2"/>
      <c r="T90" s="2"/>
      <c r="U90" s="2"/>
      <c r="V90" s="2"/>
    </row>
    <row r="91" spans="1:2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4"/>
      <c r="R91" s="2"/>
      <c r="S91" s="2"/>
      <c r="T91" s="2"/>
      <c r="U91" s="2"/>
      <c r="V91" s="2"/>
    </row>
    <row r="92" spans="1:2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4"/>
      <c r="R92" s="2"/>
      <c r="S92" s="2"/>
      <c r="T92" s="2"/>
      <c r="U92" s="2"/>
      <c r="V92" s="2"/>
    </row>
    <row r="93" spans="1:2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4"/>
      <c r="R93" s="2"/>
      <c r="S93" s="2"/>
      <c r="T93" s="2"/>
      <c r="U93" s="2"/>
      <c r="V93" s="2"/>
    </row>
    <row r="94" spans="1:2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4"/>
      <c r="R94" s="2"/>
      <c r="S94" s="2"/>
      <c r="T94" s="2"/>
      <c r="U94" s="2"/>
      <c r="V94" s="2"/>
    </row>
    <row r="95" spans="1:2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4"/>
      <c r="R95" s="2"/>
      <c r="S95" s="2"/>
      <c r="T95" s="2"/>
      <c r="U95" s="2"/>
      <c r="V95" s="2"/>
    </row>
    <row r="96" spans="1:2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4"/>
      <c r="R96" s="2"/>
      <c r="S96" s="2"/>
      <c r="T96" s="2"/>
      <c r="U96" s="2"/>
      <c r="V96" s="2"/>
    </row>
    <row r="97" spans="1:37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4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4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4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4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4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4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4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4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4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4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4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4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4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4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4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4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4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4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4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4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4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4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4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4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4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4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4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4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4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4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4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4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4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4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4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4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4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4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4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4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4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4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4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4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4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4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4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4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4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4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4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4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4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4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x14ac:dyDescent="0.25">
      <c r="F151" s="2"/>
      <c r="G151" s="2"/>
      <c r="H151" s="2"/>
      <c r="I151" s="2"/>
      <c r="J151" s="2"/>
      <c r="Q151" s="5"/>
    </row>
    <row r="152" spans="1:37" x14ac:dyDescent="0.25">
      <c r="F152" s="2"/>
      <c r="G152" s="2"/>
      <c r="H152" s="2"/>
      <c r="I152" s="2"/>
      <c r="J152" s="2"/>
    </row>
    <row r="153" spans="1:37" x14ac:dyDescent="0.25">
      <c r="F153" s="2"/>
      <c r="G153" s="2"/>
      <c r="H153" s="2"/>
      <c r="I153" s="2"/>
      <c r="J153" s="2"/>
    </row>
    <row r="154" spans="1:37" x14ac:dyDescent="0.25">
      <c r="F154" s="2"/>
      <c r="G154" s="2"/>
      <c r="H154" s="2"/>
      <c r="I154" s="2"/>
      <c r="J154" s="2"/>
    </row>
    <row r="155" spans="1:37" x14ac:dyDescent="0.25">
      <c r="F155" s="2"/>
      <c r="G155" s="2"/>
      <c r="H155" s="2"/>
      <c r="I155" s="2"/>
      <c r="J155" s="2"/>
    </row>
    <row r="156" spans="1:37" x14ac:dyDescent="0.25">
      <c r="F156" s="2"/>
      <c r="G156" s="2"/>
      <c r="H156" s="2"/>
      <c r="I156" s="2"/>
      <c r="J156" s="2"/>
    </row>
    <row r="157" spans="1:37" x14ac:dyDescent="0.25">
      <c r="F157" s="2"/>
      <c r="G157" s="2"/>
      <c r="H157" s="2"/>
      <c r="I157" s="2"/>
      <c r="J157" s="2"/>
    </row>
    <row r="158" spans="1:37" x14ac:dyDescent="0.25">
      <c r="F158" s="2"/>
      <c r="G158" s="2"/>
      <c r="H158" s="2"/>
      <c r="I158" s="2"/>
      <c r="J158" s="2"/>
    </row>
    <row r="159" spans="1:37" x14ac:dyDescent="0.25">
      <c r="F159" s="2"/>
      <c r="G159" s="2"/>
      <c r="H159" s="2"/>
      <c r="I159" s="2"/>
      <c r="J159" s="2"/>
    </row>
    <row r="160" spans="1:37" x14ac:dyDescent="0.25">
      <c r="F160" s="2"/>
      <c r="G160" s="2"/>
      <c r="H160" s="2"/>
      <c r="I160" s="2"/>
      <c r="J160" s="2"/>
    </row>
    <row r="161" spans="6:10" x14ac:dyDescent="0.25">
      <c r="F161" s="2"/>
      <c r="G161" s="2"/>
      <c r="H161" s="2"/>
      <c r="I161" s="2"/>
      <c r="J161" s="2"/>
    </row>
    <row r="162" spans="6:10" x14ac:dyDescent="0.25">
      <c r="F162" s="2"/>
      <c r="G162" s="2"/>
      <c r="H162" s="2"/>
      <c r="I162" s="2"/>
      <c r="J162" s="2"/>
    </row>
    <row r="163" spans="6:10" x14ac:dyDescent="0.25">
      <c r="F163" s="2"/>
      <c r="G163" s="2"/>
      <c r="H163" s="2"/>
      <c r="I163" s="2"/>
      <c r="J163" s="2"/>
    </row>
  </sheetData>
  <mergeCells count="41">
    <mergeCell ref="M41:N41"/>
    <mergeCell ref="M67:N67"/>
    <mergeCell ref="M68:N68"/>
    <mergeCell ref="C67:D67"/>
    <mergeCell ref="C68:D68"/>
    <mergeCell ref="K56:O56"/>
    <mergeCell ref="K57:O59"/>
    <mergeCell ref="K2:O2"/>
    <mergeCell ref="A29:E29"/>
    <mergeCell ref="A5:E5"/>
    <mergeCell ref="A15:B17"/>
    <mergeCell ref="A18:B19"/>
    <mergeCell ref="A20:B20"/>
    <mergeCell ref="C13:D13"/>
    <mergeCell ref="C14:D14"/>
    <mergeCell ref="M13:N13"/>
    <mergeCell ref="M14:N14"/>
    <mergeCell ref="A42:B44"/>
    <mergeCell ref="A45:B46"/>
    <mergeCell ref="A47:B47"/>
    <mergeCell ref="K3:O5"/>
    <mergeCell ref="A30:E32"/>
    <mergeCell ref="K29:O29"/>
    <mergeCell ref="K30:O32"/>
    <mergeCell ref="K42:L44"/>
    <mergeCell ref="K45:L46"/>
    <mergeCell ref="K47:L47"/>
    <mergeCell ref="K15:L17"/>
    <mergeCell ref="K18:L19"/>
    <mergeCell ref="K20:L20"/>
    <mergeCell ref="M40:N40"/>
    <mergeCell ref="C40:D40"/>
    <mergeCell ref="C41:D41"/>
    <mergeCell ref="K69:L71"/>
    <mergeCell ref="K72:L73"/>
    <mergeCell ref="K74:L74"/>
    <mergeCell ref="A56:E56"/>
    <mergeCell ref="A57:E59"/>
    <mergeCell ref="A69:B71"/>
    <mergeCell ref="A72:B73"/>
    <mergeCell ref="A74:B74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Início</vt:lpstr>
      <vt:lpstr>Planilha para Comércio</vt:lpstr>
      <vt:lpstr>Planilha para Indústria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</dc:creator>
  <cp:lastModifiedBy>hugo</cp:lastModifiedBy>
  <dcterms:created xsi:type="dcterms:W3CDTF">2016-02-13T11:56:52Z</dcterms:created>
  <dcterms:modified xsi:type="dcterms:W3CDTF">2020-05-11T21:01:00Z</dcterms:modified>
</cp:coreProperties>
</file>